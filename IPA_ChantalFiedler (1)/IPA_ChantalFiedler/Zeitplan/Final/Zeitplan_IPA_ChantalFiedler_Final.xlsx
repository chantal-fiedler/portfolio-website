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DieseArbeitsmappe"/>
  <mc:AlternateContent xmlns:mc="http://schemas.openxmlformats.org/markup-compatibility/2006">
    <mc:Choice Requires="x15">
      <x15ac:absPath xmlns:x15ac="http://schemas.microsoft.com/office/spreadsheetml/2010/11/ac" url="https://seqgroup-my.sharepoint.com/personal/chantal_fiedler_antalis_com/Documents/Desktop/IPA_ChantalFiedler/Zeitplan/"/>
    </mc:Choice>
  </mc:AlternateContent>
  <xr:revisionPtr revIDLastSave="0" documentId="8_{D582BC01-ACC8-44CD-B6F5-16FBE4484A8F}" xr6:coauthVersionLast="47" xr6:coauthVersionMax="47" xr10:uidLastSave="{00000000-0000-0000-0000-000000000000}"/>
  <bookViews>
    <workbookView xWindow="-120" yWindow="-120" windowWidth="29040" windowHeight="15720" xr2:uid="{EEE5B9B7-E43E-482A-9786-4404ED4C3B4E}"/>
  </bookViews>
  <sheets>
    <sheet name="Zeitplan IPA" sheetId="1" r:id="rId1"/>
  </sheets>
  <definedNames>
    <definedName name="_xlnm._FilterDatabase" localSheetId="0" hidden="1">'Zeitplan IPA'!$A$7:$J$143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64" i="1" l="1"/>
  <c r="I64" i="1" s="1"/>
  <c r="F64" i="1"/>
  <c r="G140" i="1"/>
  <c r="I140" i="1" s="1"/>
  <c r="G137" i="1"/>
  <c r="I137" i="1" s="1"/>
  <c r="G135" i="1"/>
  <c r="I135" i="1" s="1"/>
  <c r="G131" i="1"/>
  <c r="I131" i="1" s="1"/>
  <c r="G133" i="1"/>
  <c r="I133" i="1" s="1"/>
  <c r="G122" i="1"/>
  <c r="I122" i="1" s="1"/>
  <c r="G124" i="1"/>
  <c r="I124" i="1" s="1"/>
  <c r="G126" i="1"/>
  <c r="I126" i="1" s="1"/>
  <c r="G128" i="1"/>
  <c r="I128" i="1" s="1"/>
  <c r="G120" i="1"/>
  <c r="I120" i="1" s="1"/>
  <c r="G73" i="1"/>
  <c r="I73" i="1" s="1"/>
  <c r="G75" i="1"/>
  <c r="I75" i="1" s="1"/>
  <c r="G77" i="1"/>
  <c r="I77" i="1" s="1"/>
  <c r="G79" i="1"/>
  <c r="I79" i="1" s="1"/>
  <c r="G81" i="1"/>
  <c r="I81" i="1" s="1"/>
  <c r="G83" i="1"/>
  <c r="I83" i="1" s="1"/>
  <c r="I85" i="1"/>
  <c r="G87" i="1"/>
  <c r="I87" i="1" s="1"/>
  <c r="G89" i="1"/>
  <c r="I89" i="1" s="1"/>
  <c r="G91" i="1"/>
  <c r="I91" i="1" s="1"/>
  <c r="G93" i="1"/>
  <c r="I93" i="1" s="1"/>
  <c r="G95" i="1"/>
  <c r="I95" i="1" s="1"/>
  <c r="G97" i="1"/>
  <c r="I97" i="1" s="1"/>
  <c r="G99" i="1"/>
  <c r="I99" i="1" s="1"/>
  <c r="G101" i="1"/>
  <c r="I101" i="1" s="1"/>
  <c r="G103" i="1"/>
  <c r="I103" i="1" s="1"/>
  <c r="G105" i="1"/>
  <c r="I105" i="1" s="1"/>
  <c r="G107" i="1"/>
  <c r="I107" i="1" s="1"/>
  <c r="G109" i="1"/>
  <c r="I109" i="1" s="1"/>
  <c r="G111" i="1"/>
  <c r="I111" i="1" s="1"/>
  <c r="G113" i="1"/>
  <c r="I113" i="1" s="1"/>
  <c r="G115" i="1"/>
  <c r="I115" i="1" s="1"/>
  <c r="G117" i="1"/>
  <c r="I117" i="1" s="1"/>
  <c r="G71" i="1"/>
  <c r="I71" i="1" s="1"/>
  <c r="G62" i="1"/>
  <c r="I62" i="1" s="1"/>
  <c r="G66" i="1"/>
  <c r="I66" i="1" s="1"/>
  <c r="G68" i="1"/>
  <c r="I68" i="1" s="1"/>
  <c r="G60" i="1"/>
  <c r="I60" i="1" s="1"/>
  <c r="G47" i="1"/>
  <c r="I47" i="1" s="1"/>
  <c r="G49" i="1"/>
  <c r="I49" i="1" s="1"/>
  <c r="G51" i="1"/>
  <c r="I51" i="1" s="1"/>
  <c r="G53" i="1"/>
  <c r="I53" i="1" s="1"/>
  <c r="G55" i="1"/>
  <c r="I55" i="1" s="1"/>
  <c r="G57" i="1"/>
  <c r="I57" i="1" s="1"/>
  <c r="I33" i="1"/>
  <c r="G35" i="1"/>
  <c r="I35" i="1" s="1"/>
  <c r="G37" i="1"/>
  <c r="I37" i="1" s="1"/>
  <c r="G39" i="1"/>
  <c r="I39" i="1" s="1"/>
  <c r="G41" i="1"/>
  <c r="I41" i="1" s="1"/>
  <c r="G43" i="1"/>
  <c r="I43" i="1" s="1"/>
  <c r="G45" i="1"/>
  <c r="I45" i="1" s="1"/>
  <c r="I31" i="1"/>
  <c r="G16" i="1"/>
  <c r="I16" i="1" s="1"/>
  <c r="F10" i="1"/>
  <c r="G29" i="1"/>
  <c r="I29" i="1" s="1"/>
  <c r="G27" i="1"/>
  <c r="I27" i="1" s="1"/>
  <c r="I25" i="1"/>
  <c r="G23" i="1"/>
  <c r="I23" i="1" s="1"/>
  <c r="G21" i="1"/>
  <c r="I21" i="1" s="1"/>
  <c r="I19" i="1"/>
  <c r="G12" i="1"/>
  <c r="I12" i="1" s="1"/>
  <c r="G14" i="1"/>
  <c r="I14" i="1" s="1"/>
  <c r="I10" i="1"/>
  <c r="F140" i="1"/>
  <c r="F133" i="1"/>
  <c r="F131" i="1"/>
  <c r="F124" i="1"/>
  <c r="F122" i="1"/>
  <c r="F120" i="1"/>
  <c r="F99" i="1"/>
  <c r="F97" i="1"/>
  <c r="F95" i="1"/>
  <c r="F93" i="1"/>
  <c r="F89" i="1"/>
  <c r="F87" i="1"/>
  <c r="F85" i="1"/>
  <c r="F83" i="1"/>
  <c r="F81" i="1"/>
  <c r="F79" i="1"/>
  <c r="F77" i="1"/>
  <c r="F75" i="1"/>
  <c r="F73" i="1"/>
  <c r="F71" i="1"/>
  <c r="F68" i="1"/>
  <c r="F66" i="1"/>
  <c r="F62" i="1"/>
  <c r="F60" i="1"/>
  <c r="F57" i="1"/>
  <c r="F53" i="1"/>
  <c r="F51" i="1"/>
  <c r="F49" i="1"/>
  <c r="F47" i="1"/>
  <c r="F45" i="1"/>
  <c r="F43" i="1"/>
  <c r="F41" i="1"/>
  <c r="F39" i="1"/>
  <c r="F37" i="1"/>
  <c r="F35" i="1"/>
  <c r="F12" i="1"/>
  <c r="E142" i="1"/>
  <c r="G142" i="1" l="1"/>
  <c r="F142" i="1"/>
  <c r="I142" i="1"/>
</calcChain>
</file>

<file path=xl/sharedStrings.xml><?xml version="1.0" encoding="utf-8"?>
<sst xmlns="http://schemas.openxmlformats.org/spreadsheetml/2006/main" count="392" uniqueCount="112">
  <si>
    <t>IPA Zeitplan</t>
  </si>
  <si>
    <t>Aufgaben</t>
  </si>
  <si>
    <t xml:space="preserve">Phase Informieren </t>
  </si>
  <si>
    <t>Soll</t>
  </si>
  <si>
    <t>Ist</t>
  </si>
  <si>
    <t>Legende</t>
  </si>
  <si>
    <t>Soll:</t>
  </si>
  <si>
    <t>Ist:</t>
  </si>
  <si>
    <t>Meilensteine:</t>
  </si>
  <si>
    <t xml:space="preserve">08:00 - 10:00 </t>
  </si>
  <si>
    <t xml:space="preserve">10:00 - 12:00 </t>
  </si>
  <si>
    <t xml:space="preserve">13:00 - 15:00 </t>
  </si>
  <si>
    <t xml:space="preserve">15:00 -17:00 </t>
  </si>
  <si>
    <t>Stunden Soll</t>
  </si>
  <si>
    <t>Stunden Ist</t>
  </si>
  <si>
    <t>Anfang</t>
  </si>
  <si>
    <t>Ende</t>
  </si>
  <si>
    <t>Verantwortlich</t>
  </si>
  <si>
    <t>Status</t>
  </si>
  <si>
    <t>Terminiert</t>
  </si>
  <si>
    <t xml:space="preserve">Phase Planen </t>
  </si>
  <si>
    <t xml:space="preserve">Phase Entscheiden </t>
  </si>
  <si>
    <t xml:space="preserve">Phase Kontrollieren </t>
  </si>
  <si>
    <t xml:space="preserve">Phase Realisieren </t>
  </si>
  <si>
    <t xml:space="preserve">Phase Auswerten </t>
  </si>
  <si>
    <t>Projektorganisation: Zeitplan erstellen</t>
  </si>
  <si>
    <t>CFR</t>
  </si>
  <si>
    <t>Zielgruppe definieren</t>
  </si>
  <si>
    <t>Tutorial: Storyboard Tutorial 1 erstellen</t>
  </si>
  <si>
    <t>Tutorial: Storyboard Tutorial 2 erstellen</t>
  </si>
  <si>
    <t>Webshop Funktionen für Tutorials analysieren</t>
  </si>
  <si>
    <t>Tutorial: Screen Recording Tutorial 1</t>
  </si>
  <si>
    <t>Tutorial: Screen Recording Tutorial 2</t>
  </si>
  <si>
    <t>Tutorial: Video Schnitt Tutorial 2</t>
  </si>
  <si>
    <t>Externe Kommunikation: Landingpages erstellen</t>
  </si>
  <si>
    <t>Externe Kommunikation: HQCODE erstellen</t>
  </si>
  <si>
    <t>Tägliches Statusmeeting mit CKL</t>
  </si>
  <si>
    <t xml:space="preserve">Status: </t>
  </si>
  <si>
    <r>
      <rPr>
        <b/>
        <sz val="11"/>
        <color theme="1"/>
        <rFont val="Heebo"/>
      </rPr>
      <t>Firmenname:</t>
    </r>
    <r>
      <rPr>
        <sz val="11"/>
        <color theme="1"/>
        <rFont val="Heebo"/>
      </rPr>
      <t xml:space="preserve"> Antalis AG                        </t>
    </r>
    <r>
      <rPr>
        <b/>
        <sz val="11"/>
        <color theme="1"/>
        <rFont val="Heebo"/>
      </rPr>
      <t>Projektverantwortliche</t>
    </r>
    <r>
      <rPr>
        <sz val="11"/>
        <color theme="1"/>
        <rFont val="Heebo"/>
      </rPr>
      <t>: Chantal Fiedler</t>
    </r>
  </si>
  <si>
    <t>CFR, CKL, SCT</t>
  </si>
  <si>
    <t>Newsletter: Testversand Desktop / Mobile</t>
  </si>
  <si>
    <t>Newsletter: Links prüfen</t>
  </si>
  <si>
    <t>Meetings: Sitzungsprotokolle erstellen und dokumentieren</t>
  </si>
  <si>
    <t>Meetings: Experten-Besuch 1</t>
  </si>
  <si>
    <t>Meetings: Experten-Besuch 2</t>
  </si>
  <si>
    <t>Führung des Arbeitsjournals</t>
  </si>
  <si>
    <t>Summe:</t>
  </si>
  <si>
    <t>Dokumentation: Aufgabenstellung einfügen</t>
  </si>
  <si>
    <t>Dokumentation: Ausgangslage beschreiben</t>
  </si>
  <si>
    <t>Dokumentation: Vorwort schreiben</t>
  </si>
  <si>
    <t>Zielgruppendaten aus QlikSense anfordern</t>
  </si>
  <si>
    <t>CFR, SCT</t>
  </si>
  <si>
    <t>Tutorial: Storyboard überarbeiten</t>
  </si>
  <si>
    <t xml:space="preserve">Dokumentation: Zielgruppenanalyse </t>
  </si>
  <si>
    <t xml:space="preserve">Dokumentation: Storyboard </t>
  </si>
  <si>
    <t>Tutorial: Sprechtext basierend auf Storyboards ausarbeiten</t>
  </si>
  <si>
    <t>Tutorial: Sprechtext per KI generiern lassen</t>
  </si>
  <si>
    <t xml:space="preserve">Tutorial: Video Schnitt Tutorial 1 </t>
  </si>
  <si>
    <t xml:space="preserve">Newsletter: Aufbau und Struktur definieren </t>
  </si>
  <si>
    <t>Dokumentation: Newsletter-Konzept beschreiben</t>
  </si>
  <si>
    <t>Tutorial: Video Intro &amp; Outro erstellen</t>
  </si>
  <si>
    <t>Dokumentation: Umsetzung der Tutorials beschreiben</t>
  </si>
  <si>
    <t xml:space="preserve">Tutorial: Sprechtext einfügen </t>
  </si>
  <si>
    <t>Dokumentation: Newsletter Umsetzung</t>
  </si>
  <si>
    <t>Meetings: Entwurf Newsletter präsentieren</t>
  </si>
  <si>
    <t>Meetings: Entwurf Storyboard präsentieren</t>
  </si>
  <si>
    <t>Newsletter: Anpassung vornehmen</t>
  </si>
  <si>
    <t>Externe Kommunikation: 1  Newsletter erstellen</t>
  </si>
  <si>
    <t>Externe Kommunikation: Formular erstellen</t>
  </si>
  <si>
    <t>Newsletter: newsletter 2 erstellen</t>
  </si>
  <si>
    <t>Dokumentation: Newsletter Umsetzung ergänzen</t>
  </si>
  <si>
    <t>Formular / Landingpage testen</t>
  </si>
  <si>
    <t>Dokumentation: Qualitätssicherung beschreiben</t>
  </si>
  <si>
    <t>Dokumentation: Testverfahren beschreiben</t>
  </si>
  <si>
    <t>Newsletter: Bilder erstellen - Bannerkonzept</t>
  </si>
  <si>
    <t>Tutorial: Video auf YouTube hochladen (Entwurfsversion)+(finale Version)</t>
  </si>
  <si>
    <t>Tutorial: Videos Exportieren</t>
  </si>
  <si>
    <t>Dokumentation: Screenshots der finalen Ergebnisse einfügen YT</t>
  </si>
  <si>
    <t>Dokumentation: Screenshots der finalen Ergebnisse einfügen Newsletter</t>
  </si>
  <si>
    <t>Dokumentation: Screenshots der finalen Ergebnisse einfügen Storyboard</t>
  </si>
  <si>
    <t>Dokumentation: Fazit schreiben</t>
  </si>
  <si>
    <t>Dokumentation: Überarbeitung</t>
  </si>
  <si>
    <t>Dokumentation: Umsetzung der Tutorials final beschreiben</t>
  </si>
  <si>
    <t>Dokumentation: Newsletter Kampagne final beschreiben</t>
  </si>
  <si>
    <t>Dateien final strukturieren (Projektordner)</t>
  </si>
  <si>
    <t xml:space="preserve">Anhänge vorbereiten (Screenshots, Links, Protokolle) </t>
  </si>
  <si>
    <t>Dokumentation: persönliche Reflexion / Erkenntnisse</t>
  </si>
  <si>
    <t>Dokumentation: Quellenverzeichnis erstellen und prüfen</t>
  </si>
  <si>
    <t>Layout, Rechtschreibung und Formatierung korrigieren</t>
  </si>
  <si>
    <t>IPA-Dokumentation exportieren und Abgabe vorbereiten</t>
  </si>
  <si>
    <t xml:space="preserve">Abweichungen </t>
  </si>
  <si>
    <t>09.03.2026 (Tag 1)</t>
  </si>
  <si>
    <t>10.03.2026 (Tag 2)</t>
  </si>
  <si>
    <t>12.03.2026 (Tag 3)</t>
  </si>
  <si>
    <t>13.03.2026 (Tag 4)</t>
  </si>
  <si>
    <t>16.03.2026 (Tag 5)</t>
  </si>
  <si>
    <t>17.03.2026 (Tag 6)</t>
  </si>
  <si>
    <t>19.03.2026 (Tag 7)</t>
  </si>
  <si>
    <t>20.03.2026 (Tag 8)</t>
  </si>
  <si>
    <t>23.03.2026 (Tag 9)</t>
  </si>
  <si>
    <t>24.03.2026 (Tag 10)</t>
  </si>
  <si>
    <t>Hilfsspalte 
Soll/Ist</t>
  </si>
  <si>
    <t>Erledigt</t>
  </si>
  <si>
    <t>Terminiert;
In Bearbeitung;  Erledigt</t>
  </si>
  <si>
    <t>In Bearbeitung</t>
  </si>
  <si>
    <t>Hilfsspalte Planung</t>
  </si>
  <si>
    <t xml:space="preserve"> </t>
  </si>
  <si>
    <t>Dokumentation: IPA-Dokumentation auf Vollständigkeit prüfen</t>
  </si>
  <si>
    <t>Dokumentation: Testergebnisse 1 dokumentieren</t>
  </si>
  <si>
    <t>Dokumentation: Testergebnisse 2 dokumentieren</t>
  </si>
  <si>
    <t>CFR, CKL</t>
  </si>
  <si>
    <t>Meetings: Entwurf Tutorials präsentieren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</si>
</sst>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Heebo"/>
    </font>
    <font>
      <b/>
      <sz val="20"/>
      <color theme="1"/>
      <name val="Heebo"/>
    </font>
    <font>
      <b/>
      <sz val="11"/>
      <color theme="1"/>
      <name val="Heebo"/>
    </font>
    <font>
      <b/>
      <sz val="11"/>
      <color theme="0"/>
      <name val="Heebo"/>
    </font>
    <font>
      <sz val="12"/>
      <color theme="1"/>
      <name val="Heebo"/>
    </font>
    <font>
      <sz val="8"/>
      <name val="Aptos Narrow"/>
      <family val="2"/>
      <scheme val="minor"/>
    </font>
    <font>
      <b/>
      <sz val="12"/>
      <color theme="0"/>
      <name val="Heebo"/>
    </font>
    <font>
      <sz val="11"/>
      <color theme="9" tint="-0.499984740745262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C1948"/>
        <bgColor indexed="64"/>
      </patternFill>
    </fill>
    <fill>
      <patternFill patternType="solid">
        <fgColor rgb="FFF0027F"/>
        <bgColor indexed="64"/>
      </patternFill>
    </fill>
    <fill>
      <patternFill patternType="solid">
        <fgColor rgb="FFDCE8F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F7D7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CAB7B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theme="0" tint="-0.14996795556505021"/>
      </top>
      <bottom style="medium">
        <color theme="0" tint="-0.1499679555650502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3" applyFill="0">
      <alignment horizontal="left" vertical="center" indent="2"/>
    </xf>
    <xf numFmtId="0" fontId="1" fillId="0" borderId="3" applyFill="0">
      <alignment horizontal="center" vertical="center"/>
    </xf>
  </cellStyleXfs>
  <cellXfs count="89">
    <xf numFmtId="0" fontId="0" fillId="0" borderId="0" xfId="0"/>
    <xf numFmtId="0" fontId="0" fillId="4" borderId="0" xfId="0" applyFill="1"/>
    <xf numFmtId="0" fontId="0" fillId="4" borderId="0" xfId="0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11" fillId="4" borderId="11" xfId="0" applyFont="1" applyFill="1" applyBorder="1" applyAlignment="1">
      <alignment horizontal="center" vertical="center"/>
    </xf>
    <xf numFmtId="0" fontId="2" fillId="4" borderId="0" xfId="0" applyFont="1" applyFill="1" applyAlignment="1">
      <alignment vertical="center"/>
    </xf>
    <xf numFmtId="0" fontId="2" fillId="4" borderId="6" xfId="0" applyFont="1" applyFill="1" applyBorder="1" applyAlignment="1">
      <alignment vertical="center"/>
    </xf>
    <xf numFmtId="0" fontId="0" fillId="4" borderId="4" xfId="0" applyFill="1" applyBorder="1" applyAlignment="1">
      <alignment vertical="center" wrapText="1"/>
    </xf>
    <xf numFmtId="0" fontId="2" fillId="0" borderId="4" xfId="0" applyFont="1" applyBorder="1" applyAlignment="1">
      <alignment vertical="center"/>
    </xf>
    <xf numFmtId="0" fontId="0" fillId="5" borderId="0" xfId="0" applyFill="1"/>
    <xf numFmtId="0" fontId="9" fillId="5" borderId="5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12" fillId="9" borderId="0" xfId="0" applyFont="1" applyFill="1" applyAlignment="1">
      <alignment horizontal="center"/>
    </xf>
    <xf numFmtId="20" fontId="7" fillId="3" borderId="6" xfId="0" applyNumberFormat="1" applyFont="1" applyFill="1" applyBorder="1" applyAlignment="1">
      <alignment horizontal="center" vertical="center" wrapText="1"/>
    </xf>
    <xf numFmtId="20" fontId="7" fillId="2" borderId="6" xfId="0" applyNumberFormat="1" applyFont="1" applyFill="1" applyBorder="1" applyAlignment="1">
      <alignment horizontal="center" vertical="center" wrapText="1"/>
    </xf>
    <xf numFmtId="20" fontId="7" fillId="2" borderId="10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12" fillId="0" borderId="4" xfId="0" applyFont="1" applyBorder="1" applyAlignment="1">
      <alignment horizontal="center"/>
    </xf>
    <xf numFmtId="0" fontId="0" fillId="4" borderId="0" xfId="0" applyFill="1" applyAlignment="1">
      <alignment vertical="center" wrapText="1"/>
    </xf>
    <xf numFmtId="0" fontId="6" fillId="5" borderId="13" xfId="0" applyFont="1" applyFill="1" applyBorder="1" applyAlignment="1" applyProtection="1">
      <alignment horizontal="center" vertical="center"/>
      <protection locked="0"/>
    </xf>
    <xf numFmtId="0" fontId="6" fillId="5" borderId="5" xfId="0" applyFont="1" applyFill="1" applyBorder="1" applyAlignment="1" applyProtection="1">
      <alignment horizontal="center" vertical="center"/>
      <protection locked="0"/>
    </xf>
    <xf numFmtId="0" fontId="6" fillId="6" borderId="13" xfId="0" applyFont="1" applyFill="1" applyBorder="1" applyAlignment="1" applyProtection="1">
      <alignment horizontal="center" vertical="center"/>
      <protection locked="0"/>
    </xf>
    <xf numFmtId="0" fontId="6" fillId="6" borderId="5" xfId="0" applyFont="1" applyFill="1" applyBorder="1" applyAlignment="1" applyProtection="1">
      <alignment horizontal="center" vertical="center"/>
      <protection locked="0"/>
    </xf>
    <xf numFmtId="0" fontId="9" fillId="10" borderId="14" xfId="0" applyFont="1" applyFill="1" applyBorder="1" applyAlignment="1">
      <alignment horizontal="center" vertical="center"/>
    </xf>
    <xf numFmtId="0" fontId="9" fillId="10" borderId="9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9" fillId="10" borderId="6" xfId="0" applyFont="1" applyFill="1" applyBorder="1" applyAlignment="1">
      <alignment horizontal="center" vertical="center"/>
    </xf>
    <xf numFmtId="0" fontId="9" fillId="10" borderId="12" xfId="0" applyFont="1" applyFill="1" applyBorder="1" applyAlignment="1">
      <alignment horizontal="center" vertical="center"/>
    </xf>
    <xf numFmtId="0" fontId="9" fillId="10" borderId="4" xfId="0" applyFont="1" applyFill="1" applyBorder="1" applyAlignment="1">
      <alignment horizontal="center" vertical="center"/>
    </xf>
    <xf numFmtId="0" fontId="9" fillId="10" borderId="7" xfId="0" applyFont="1" applyFill="1" applyBorder="1" applyAlignment="1">
      <alignment horizontal="center" vertical="center"/>
    </xf>
    <xf numFmtId="0" fontId="12" fillId="12" borderId="4" xfId="0" applyFont="1" applyFill="1" applyBorder="1" applyAlignment="1">
      <alignment horizontal="center"/>
    </xf>
    <xf numFmtId="0" fontId="0" fillId="4" borderId="6" xfId="0" applyFill="1" applyBorder="1"/>
    <xf numFmtId="0" fontId="0" fillId="4" borderId="14" xfId="0" applyFill="1" applyBorder="1"/>
    <xf numFmtId="0" fontId="0" fillId="4" borderId="8" xfId="0" applyFill="1" applyBorder="1"/>
    <xf numFmtId="0" fontId="0" fillId="4" borderId="9" xfId="0" applyFill="1" applyBorder="1" applyAlignment="1">
      <alignment vertical="center" wrapText="1"/>
    </xf>
    <xf numFmtId="0" fontId="14" fillId="4" borderId="4" xfId="0" applyFont="1" applyFill="1" applyBorder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center" vertical="center"/>
    </xf>
    <xf numFmtId="0" fontId="6" fillId="6" borderId="15" xfId="0" applyFont="1" applyFill="1" applyBorder="1" applyAlignment="1" applyProtection="1">
      <alignment horizontal="center" vertical="center"/>
      <protection locked="0"/>
    </xf>
    <xf numFmtId="20" fontId="7" fillId="3" borderId="12" xfId="0" applyNumberFormat="1" applyFont="1" applyFill="1" applyBorder="1" applyAlignment="1">
      <alignment horizontal="center" vertical="center" wrapText="1"/>
    </xf>
    <xf numFmtId="0" fontId="9" fillId="5" borderId="15" xfId="0" applyFont="1" applyFill="1" applyBorder="1" applyAlignment="1">
      <alignment horizontal="center" vertical="center"/>
    </xf>
    <xf numFmtId="0" fontId="12" fillId="9" borderId="2" xfId="0" applyFont="1" applyFill="1" applyBorder="1" applyAlignment="1">
      <alignment horizontal="center"/>
    </xf>
    <xf numFmtId="0" fontId="9" fillId="5" borderId="13" xfId="0" applyFont="1" applyFill="1" applyBorder="1" applyAlignment="1">
      <alignment horizontal="left" vertical="center"/>
    </xf>
    <xf numFmtId="0" fontId="0" fillId="5" borderId="0" xfId="0" applyFill="1" applyAlignment="1">
      <alignment horizontal="center"/>
    </xf>
    <xf numFmtId="0" fontId="12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10" fillId="11" borderId="14" xfId="0" applyFont="1" applyFill="1" applyBorder="1" applyAlignment="1">
      <alignment horizontal="left" vertical="center"/>
    </xf>
    <xf numFmtId="0" fontId="10" fillId="11" borderId="8" xfId="0" applyFont="1" applyFill="1" applyBorder="1" applyAlignment="1">
      <alignment horizontal="left" vertical="center"/>
    </xf>
    <xf numFmtId="14" fontId="0" fillId="0" borderId="14" xfId="0" applyNumberFormat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14" fontId="0" fillId="0" borderId="14" xfId="0" applyNumberFormat="1" applyBorder="1" applyAlignment="1">
      <alignment horizontal="left" vertical="center" indent="1"/>
    </xf>
    <xf numFmtId="14" fontId="0" fillId="0" borderId="9" xfId="0" applyNumberFormat="1" applyBorder="1" applyAlignment="1">
      <alignment horizontal="left" vertical="center" indent="1"/>
    </xf>
    <xf numFmtId="0" fontId="0" fillId="0" borderId="1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10" borderId="14" xfId="0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9" fillId="8" borderId="9" xfId="0" applyFont="1" applyFill="1" applyBorder="1" applyAlignment="1">
      <alignment horizontal="center" vertical="center"/>
    </xf>
    <xf numFmtId="0" fontId="10" fillId="11" borderId="9" xfId="0" applyFont="1" applyFill="1" applyBorder="1" applyAlignment="1">
      <alignment horizontal="left" vertical="center"/>
    </xf>
    <xf numFmtId="0" fontId="10" fillId="7" borderId="14" xfId="0" applyFont="1" applyFill="1" applyBorder="1" applyAlignment="1">
      <alignment horizontal="left" vertical="center"/>
    </xf>
    <xf numFmtId="0" fontId="10" fillId="7" borderId="8" xfId="0" applyFont="1" applyFill="1" applyBorder="1" applyAlignment="1">
      <alignment horizontal="left" vertical="center"/>
    </xf>
    <xf numFmtId="14" fontId="0" fillId="0" borderId="12" xfId="0" applyNumberFormat="1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0" fontId="10" fillId="7" borderId="9" xfId="0" applyFont="1" applyFill="1" applyBorder="1" applyAlignment="1">
      <alignment horizontal="left" vertical="center"/>
    </xf>
    <xf numFmtId="0" fontId="9" fillId="10" borderId="10" xfId="0" applyFont="1" applyFill="1" applyBorder="1" applyAlignment="1">
      <alignment horizontal="center" vertical="center"/>
    </xf>
    <xf numFmtId="0" fontId="9" fillId="10" borderId="6" xfId="0" applyFont="1" applyFill="1" applyBorder="1" applyAlignment="1">
      <alignment horizontal="center" vertical="center"/>
    </xf>
    <xf numFmtId="0" fontId="9" fillId="10" borderId="12" xfId="0" applyFont="1" applyFill="1" applyBorder="1" applyAlignment="1">
      <alignment horizontal="center" vertical="center"/>
    </xf>
    <xf numFmtId="0" fontId="9" fillId="10" borderId="11" xfId="0" applyFont="1" applyFill="1" applyBorder="1" applyAlignment="1">
      <alignment horizontal="center" vertical="center"/>
    </xf>
    <xf numFmtId="0" fontId="9" fillId="10" borderId="4" xfId="0" applyFont="1" applyFill="1" applyBorder="1" applyAlignment="1">
      <alignment horizontal="center" vertical="center"/>
    </xf>
    <xf numFmtId="0" fontId="9" fillId="10" borderId="7" xfId="0" applyFont="1" applyFill="1" applyBorder="1" applyAlignment="1">
      <alignment horizontal="center" vertical="center"/>
    </xf>
    <xf numFmtId="14" fontId="0" fillId="10" borderId="14" xfId="0" applyNumberFormat="1" applyFill="1" applyBorder="1" applyAlignment="1">
      <alignment horizontal="center" vertical="center"/>
    </xf>
    <xf numFmtId="14" fontId="0" fillId="10" borderId="9" xfId="0" applyNumberFormat="1" applyFill="1" applyBorder="1" applyAlignment="1">
      <alignment horizontal="center" vertical="center"/>
    </xf>
    <xf numFmtId="0" fontId="11" fillId="4" borderId="10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0" fillId="0" borderId="9" xfId="0" applyBorder="1" applyAlignment="1">
      <alignment horizontal="left" vertical="center" indent="1"/>
    </xf>
    <xf numFmtId="0" fontId="10" fillId="11" borderId="14" xfId="0" applyFont="1" applyFill="1" applyBorder="1" applyAlignment="1">
      <alignment horizontal="left" vertical="center" wrapText="1"/>
    </xf>
    <xf numFmtId="0" fontId="10" fillId="11" borderId="8" xfId="0" applyFont="1" applyFill="1" applyBorder="1" applyAlignment="1">
      <alignment horizontal="left" vertical="center" wrapText="1"/>
    </xf>
    <xf numFmtId="14" fontId="13" fillId="0" borderId="14" xfId="0" applyNumberFormat="1" applyFont="1" applyBorder="1" applyAlignment="1">
      <alignment horizontal="left" vertical="center" indent="1"/>
    </xf>
    <xf numFmtId="14" fontId="13" fillId="0" borderId="9" xfId="0" applyNumberFormat="1" applyFont="1" applyBorder="1" applyAlignment="1">
      <alignment horizontal="left" vertical="center" indent="1"/>
    </xf>
    <xf numFmtId="0" fontId="9" fillId="8" borderId="14" xfId="0" applyFont="1" applyFill="1" applyBorder="1" applyAlignment="1">
      <alignment horizontal="center" vertical="center" wrapText="1"/>
    </xf>
    <xf numFmtId="0" fontId="9" fillId="8" borderId="9" xfId="0" applyFont="1" applyFill="1" applyBorder="1" applyAlignment="1">
      <alignment horizontal="center" vertical="center" wrapText="1"/>
    </xf>
  </cellXfs>
  <cellStyles count="3">
    <cellStyle name="Aufgabe" xfId="1" xr:uid="{F66657B8-D36E-4D23-9B72-6139BF922ECC}"/>
    <cellStyle name="Name" xfId="2" xr:uid="{D0438E1A-988B-4CD6-ACDA-35DFC5485ADB}"/>
    <cellStyle name="Standard" xfId="0" builtinId="0"/>
  </cellStyles>
  <dxfs count="0"/>
  <tableStyles count="0" defaultTableStyle="TableStyleMedium2" defaultPivotStyle="PivotStyleLight16"/>
  <colors>
    <mruColors>
      <color rgb="FFCAB7B2"/>
      <color rgb="FFFDEDF3"/>
      <color rgb="FFF0027F"/>
      <color rgb="FFFFFF99"/>
      <color rgb="FF9F7D75"/>
      <color rgb="FF1C1948"/>
      <color rgb="FFE8B2BB"/>
      <color rgb="FFF3F1A9"/>
      <color rgb="FFE1F7E5"/>
      <color rgb="FF0F4C5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487136</xdr:colOff>
      <xdr:row>1</xdr:row>
      <xdr:rowOff>85725</xdr:rowOff>
    </xdr:from>
    <xdr:to>
      <xdr:col>7</xdr:col>
      <xdr:colOff>612321</xdr:colOff>
      <xdr:row>1</xdr:row>
      <xdr:rowOff>394607</xdr:rowOff>
    </xdr:to>
    <xdr:sp macro="" textlink="">
      <xdr:nvSpPr>
        <xdr:cNvPr id="6" name="Rechteck 5">
          <a:extLst>
            <a:ext uri="{FF2B5EF4-FFF2-40B4-BE49-F238E27FC236}">
              <a16:creationId xmlns:a16="http://schemas.microsoft.com/office/drawing/2014/main" id="{04DB46C2-5203-5D41-826D-0CC3330DEC94}"/>
            </a:ext>
          </a:extLst>
        </xdr:cNvPr>
        <xdr:cNvSpPr/>
      </xdr:nvSpPr>
      <xdr:spPr>
        <a:xfrm>
          <a:off x="11767457" y="1133475"/>
          <a:ext cx="1281793" cy="308882"/>
        </a:xfrm>
        <a:prstGeom prst="rect">
          <a:avLst/>
        </a:prstGeom>
        <a:solidFill>
          <a:srgbClr val="9F7D7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6</xdr:col>
      <xdr:colOff>495301</xdr:colOff>
      <xdr:row>2</xdr:row>
      <xdr:rowOff>35379</xdr:rowOff>
    </xdr:from>
    <xdr:to>
      <xdr:col>7</xdr:col>
      <xdr:colOff>625928</xdr:colOff>
      <xdr:row>2</xdr:row>
      <xdr:rowOff>326571</xdr:rowOff>
    </xdr:to>
    <xdr:sp macro="" textlink="">
      <xdr:nvSpPr>
        <xdr:cNvPr id="7" name="Rechteck 6">
          <a:extLst>
            <a:ext uri="{FF2B5EF4-FFF2-40B4-BE49-F238E27FC236}">
              <a16:creationId xmlns:a16="http://schemas.microsoft.com/office/drawing/2014/main" id="{ABF30DEE-441F-4F06-BF05-B1F295AC855A}"/>
            </a:ext>
          </a:extLst>
        </xdr:cNvPr>
        <xdr:cNvSpPr/>
      </xdr:nvSpPr>
      <xdr:spPr>
        <a:xfrm>
          <a:off x="11775622" y="1545772"/>
          <a:ext cx="1287235" cy="291192"/>
        </a:xfrm>
        <a:prstGeom prst="rect">
          <a:avLst/>
        </a:prstGeom>
        <a:solidFill>
          <a:srgbClr val="CAB7B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 editAs="oneCell">
    <xdr:from>
      <xdr:col>1</xdr:col>
      <xdr:colOff>535569</xdr:colOff>
      <xdr:row>0</xdr:row>
      <xdr:rowOff>87924</xdr:rowOff>
    </xdr:from>
    <xdr:to>
      <xdr:col>3</xdr:col>
      <xdr:colOff>983503</xdr:colOff>
      <xdr:row>0</xdr:row>
      <xdr:rowOff>961728</xdr:rowOff>
    </xdr:to>
    <xdr:pic>
      <xdr:nvPicPr>
        <xdr:cNvPr id="14" name="Grafik 13">
          <a:extLst>
            <a:ext uri="{FF2B5EF4-FFF2-40B4-BE49-F238E27FC236}">
              <a16:creationId xmlns:a16="http://schemas.microsoft.com/office/drawing/2014/main" id="{88948A3D-96A7-C9AB-2337-C42C3920E8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16894" y="87924"/>
          <a:ext cx="2626731" cy="873804"/>
        </a:xfrm>
        <a:prstGeom prst="rect">
          <a:avLst/>
        </a:prstGeom>
      </xdr:spPr>
    </xdr:pic>
    <xdr:clientData/>
  </xdr:twoCellAnchor>
  <xdr:twoCellAnchor>
    <xdr:from>
      <xdr:col>7</xdr:col>
      <xdr:colOff>233963</xdr:colOff>
      <xdr:row>2</xdr:row>
      <xdr:rowOff>364992</xdr:rowOff>
    </xdr:from>
    <xdr:to>
      <xdr:col>7</xdr:col>
      <xdr:colOff>503463</xdr:colOff>
      <xdr:row>4</xdr:row>
      <xdr:rowOff>81643</xdr:rowOff>
    </xdr:to>
    <xdr:sp macro="" textlink="">
      <xdr:nvSpPr>
        <xdr:cNvPr id="15" name="Legende: mit Pfeil in vier Richtungen 14">
          <a:extLst>
            <a:ext uri="{FF2B5EF4-FFF2-40B4-BE49-F238E27FC236}">
              <a16:creationId xmlns:a16="http://schemas.microsoft.com/office/drawing/2014/main" id="{BCE91320-8683-C2A0-FAAF-19402E7A651D}"/>
            </a:ext>
          </a:extLst>
        </xdr:cNvPr>
        <xdr:cNvSpPr/>
      </xdr:nvSpPr>
      <xdr:spPr>
        <a:xfrm>
          <a:off x="11133284" y="1875385"/>
          <a:ext cx="269500" cy="397008"/>
        </a:xfrm>
        <a:prstGeom prst="quadArrowCallout">
          <a:avLst/>
        </a:prstGeom>
        <a:solidFill>
          <a:schemeClr val="accent3">
            <a:lumMod val="60000"/>
            <a:lumOff val="40000"/>
          </a:schemeClr>
        </a:solidFill>
        <a:ln>
          <a:noFill/>
        </a:ln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44</xdr:col>
      <xdr:colOff>625929</xdr:colOff>
      <xdr:row>115</xdr:row>
      <xdr:rowOff>81643</xdr:rowOff>
    </xdr:from>
    <xdr:to>
      <xdr:col>45</xdr:col>
      <xdr:colOff>174251</xdr:colOff>
      <xdr:row>117</xdr:row>
      <xdr:rowOff>84044</xdr:rowOff>
    </xdr:to>
    <xdr:sp macro="" textlink="">
      <xdr:nvSpPr>
        <xdr:cNvPr id="3" name="Legende: mit Pfeil in vier Richtungen 2">
          <a:extLst>
            <a:ext uri="{FF2B5EF4-FFF2-40B4-BE49-F238E27FC236}">
              <a16:creationId xmlns:a16="http://schemas.microsoft.com/office/drawing/2014/main" id="{97015003-73BB-4379-B3DA-2DF1C3E20536}"/>
            </a:ext>
          </a:extLst>
        </xdr:cNvPr>
        <xdr:cNvSpPr/>
      </xdr:nvSpPr>
      <xdr:spPr>
        <a:xfrm>
          <a:off x="39447108" y="25132393"/>
          <a:ext cx="269500" cy="397008"/>
        </a:xfrm>
        <a:prstGeom prst="quadArrowCallout">
          <a:avLst/>
        </a:prstGeom>
        <a:solidFill>
          <a:schemeClr val="accent3">
            <a:lumMod val="60000"/>
            <a:lumOff val="40000"/>
          </a:schemeClr>
        </a:solidFill>
        <a:ln>
          <a:noFill/>
        </a:ln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37</xdr:col>
      <xdr:colOff>638977</xdr:colOff>
      <xdr:row>101</xdr:row>
      <xdr:rowOff>107738</xdr:rowOff>
    </xdr:from>
    <xdr:to>
      <xdr:col>38</xdr:col>
      <xdr:colOff>187299</xdr:colOff>
      <xdr:row>103</xdr:row>
      <xdr:rowOff>110139</xdr:rowOff>
    </xdr:to>
    <xdr:sp macro="" textlink="">
      <xdr:nvSpPr>
        <xdr:cNvPr id="4" name="Legende: mit Pfeil in vier Richtungen 3">
          <a:extLst>
            <a:ext uri="{FF2B5EF4-FFF2-40B4-BE49-F238E27FC236}">
              <a16:creationId xmlns:a16="http://schemas.microsoft.com/office/drawing/2014/main" id="{9B160A6F-E183-4DA9-86C8-385BFC13BEED}"/>
            </a:ext>
          </a:extLst>
        </xdr:cNvPr>
        <xdr:cNvSpPr/>
      </xdr:nvSpPr>
      <xdr:spPr>
        <a:xfrm>
          <a:off x="35881477" y="22654587"/>
          <a:ext cx="265959" cy="393840"/>
        </a:xfrm>
        <a:prstGeom prst="quadArrowCallout">
          <a:avLst/>
        </a:prstGeom>
        <a:solidFill>
          <a:schemeClr val="accent3">
            <a:lumMod val="60000"/>
            <a:lumOff val="40000"/>
          </a:schemeClr>
        </a:solidFill>
        <a:ln>
          <a:noFill/>
        </a:ln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33</xdr:col>
      <xdr:colOff>601436</xdr:colOff>
      <xdr:row>97</xdr:row>
      <xdr:rowOff>111578</xdr:rowOff>
    </xdr:from>
    <xdr:to>
      <xdr:col>34</xdr:col>
      <xdr:colOff>149757</xdr:colOff>
      <xdr:row>99</xdr:row>
      <xdr:rowOff>113979</xdr:rowOff>
    </xdr:to>
    <xdr:sp macro="" textlink="">
      <xdr:nvSpPr>
        <xdr:cNvPr id="5" name="Legende: mit Pfeil in vier Richtungen 4">
          <a:extLst>
            <a:ext uri="{FF2B5EF4-FFF2-40B4-BE49-F238E27FC236}">
              <a16:creationId xmlns:a16="http://schemas.microsoft.com/office/drawing/2014/main" id="{4BDC8B21-B13B-4323-8FEE-1125F952170D}"/>
            </a:ext>
          </a:extLst>
        </xdr:cNvPr>
        <xdr:cNvSpPr/>
      </xdr:nvSpPr>
      <xdr:spPr>
        <a:xfrm>
          <a:off x="31489650" y="21610864"/>
          <a:ext cx="269500" cy="397008"/>
        </a:xfrm>
        <a:prstGeom prst="quadArrowCallout">
          <a:avLst/>
        </a:prstGeom>
        <a:solidFill>
          <a:schemeClr val="accent3">
            <a:lumMod val="60000"/>
            <a:lumOff val="40000"/>
          </a:schemeClr>
        </a:solidFill>
        <a:ln>
          <a:noFill/>
        </a:ln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31</xdr:col>
      <xdr:colOff>590551</xdr:colOff>
      <xdr:row>87</xdr:row>
      <xdr:rowOff>114300</xdr:rowOff>
    </xdr:from>
    <xdr:to>
      <xdr:col>32</xdr:col>
      <xdr:colOff>138872</xdr:colOff>
      <xdr:row>89</xdr:row>
      <xdr:rowOff>116701</xdr:rowOff>
    </xdr:to>
    <xdr:sp macro="" textlink="">
      <xdr:nvSpPr>
        <xdr:cNvPr id="8" name="Legende: mit Pfeil in vier Richtungen 7">
          <a:extLst>
            <a:ext uri="{FF2B5EF4-FFF2-40B4-BE49-F238E27FC236}">
              <a16:creationId xmlns:a16="http://schemas.microsoft.com/office/drawing/2014/main" id="{0BBE32C0-8E2E-48FB-ACB0-0176BA2D3330}"/>
            </a:ext>
          </a:extLst>
        </xdr:cNvPr>
        <xdr:cNvSpPr/>
      </xdr:nvSpPr>
      <xdr:spPr>
        <a:xfrm>
          <a:off x="30036408" y="19640550"/>
          <a:ext cx="269500" cy="397008"/>
        </a:xfrm>
        <a:prstGeom prst="quadArrowCallout">
          <a:avLst/>
        </a:prstGeom>
        <a:solidFill>
          <a:schemeClr val="accent3">
            <a:lumMod val="60000"/>
            <a:lumOff val="40000"/>
          </a:schemeClr>
        </a:solidFill>
        <a:ln>
          <a:noFill/>
        </a:ln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15</xdr:col>
      <xdr:colOff>605118</xdr:colOff>
      <xdr:row>12</xdr:row>
      <xdr:rowOff>100853</xdr:rowOff>
    </xdr:from>
    <xdr:to>
      <xdr:col>16</xdr:col>
      <xdr:colOff>153438</xdr:colOff>
      <xdr:row>14</xdr:row>
      <xdr:rowOff>114459</xdr:rowOff>
    </xdr:to>
    <xdr:sp macro="" textlink="">
      <xdr:nvSpPr>
        <xdr:cNvPr id="10" name="Legende: mit Pfeil in vier Richtungen 9">
          <a:extLst>
            <a:ext uri="{FF2B5EF4-FFF2-40B4-BE49-F238E27FC236}">
              <a16:creationId xmlns:a16="http://schemas.microsoft.com/office/drawing/2014/main" id="{7478E354-7E52-493A-949B-AB25D8E14326}"/>
            </a:ext>
          </a:extLst>
        </xdr:cNvPr>
        <xdr:cNvSpPr/>
      </xdr:nvSpPr>
      <xdr:spPr>
        <a:xfrm>
          <a:off x="16091647" y="5479677"/>
          <a:ext cx="265497" cy="394606"/>
        </a:xfrm>
        <a:prstGeom prst="quadArrowCallout">
          <a:avLst/>
        </a:prstGeom>
        <a:solidFill>
          <a:schemeClr val="accent3">
            <a:lumMod val="60000"/>
            <a:lumOff val="40000"/>
          </a:schemeClr>
        </a:solidFill>
        <a:ln>
          <a:noFill/>
        </a:ln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38</xdr:col>
      <xdr:colOff>600636</xdr:colOff>
      <xdr:row>14</xdr:row>
      <xdr:rowOff>62754</xdr:rowOff>
    </xdr:from>
    <xdr:to>
      <xdr:col>39</xdr:col>
      <xdr:colOff>148956</xdr:colOff>
      <xdr:row>16</xdr:row>
      <xdr:rowOff>76360</xdr:rowOff>
    </xdr:to>
    <xdr:sp macro="" textlink="">
      <xdr:nvSpPr>
        <xdr:cNvPr id="11" name="Legende: mit Pfeil in vier Richtungen 10">
          <a:extLst>
            <a:ext uri="{FF2B5EF4-FFF2-40B4-BE49-F238E27FC236}">
              <a16:creationId xmlns:a16="http://schemas.microsoft.com/office/drawing/2014/main" id="{D760B915-7102-4283-B2DE-EF9A5B6A1FF3}"/>
            </a:ext>
          </a:extLst>
        </xdr:cNvPr>
        <xdr:cNvSpPr/>
      </xdr:nvSpPr>
      <xdr:spPr>
        <a:xfrm>
          <a:off x="32582224" y="5822578"/>
          <a:ext cx="265497" cy="394606"/>
        </a:xfrm>
        <a:prstGeom prst="quadArrowCallout">
          <a:avLst/>
        </a:prstGeom>
        <a:solidFill>
          <a:schemeClr val="accent3">
            <a:lumMod val="60000"/>
            <a:lumOff val="40000"/>
          </a:schemeClr>
        </a:solidFill>
        <a:ln>
          <a:noFill/>
        </a:ln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12</xdr:col>
      <xdr:colOff>589429</xdr:colOff>
      <xdr:row>20</xdr:row>
      <xdr:rowOff>73959</xdr:rowOff>
    </xdr:from>
    <xdr:to>
      <xdr:col>13</xdr:col>
      <xdr:colOff>137750</xdr:colOff>
      <xdr:row>22</xdr:row>
      <xdr:rowOff>87565</xdr:rowOff>
    </xdr:to>
    <xdr:sp macro="" textlink="">
      <xdr:nvSpPr>
        <xdr:cNvPr id="12" name="Legende: mit Pfeil in vier Richtungen 11">
          <a:extLst>
            <a:ext uri="{FF2B5EF4-FFF2-40B4-BE49-F238E27FC236}">
              <a16:creationId xmlns:a16="http://schemas.microsoft.com/office/drawing/2014/main" id="{404AF4A0-2ABB-4859-AF30-CF855371FF69}"/>
            </a:ext>
          </a:extLst>
        </xdr:cNvPr>
        <xdr:cNvSpPr/>
      </xdr:nvSpPr>
      <xdr:spPr>
        <a:xfrm>
          <a:off x="13924429" y="7032812"/>
          <a:ext cx="265497" cy="394606"/>
        </a:xfrm>
        <a:prstGeom prst="quadArrowCallout">
          <a:avLst/>
        </a:prstGeom>
        <a:solidFill>
          <a:schemeClr val="accent3">
            <a:lumMod val="60000"/>
            <a:lumOff val="40000"/>
          </a:schemeClr>
        </a:solidFill>
        <a:ln>
          <a:noFill/>
        </a:ln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CF5E7-47C3-4885-96D3-6F5C321DF876}">
  <sheetPr codeName="Tabelle1"/>
  <dimension ref="A1:AZ150"/>
  <sheetViews>
    <sheetView tabSelected="1" topLeftCell="N1" zoomScale="55" zoomScaleNormal="55" workbookViewId="0">
      <pane ySplit="8" topLeftCell="A111" activePane="bottomLeft" state="frozen"/>
      <selection pane="bottomLeft" activeCell="M65" sqref="M65"/>
    </sheetView>
  </sheetViews>
  <sheetFormatPr baseColWidth="10" defaultColWidth="11" defaultRowHeight="14.25" outlineLevelCol="1"/>
  <cols>
    <col min="1" max="1" width="66.75" style="41" customWidth="1"/>
    <col min="2" max="2" width="17" bestFit="1" customWidth="1"/>
    <col min="3" max="4" width="15.875" customWidth="1"/>
    <col min="5" max="5" width="15.875" customWidth="1" outlineLevel="1"/>
    <col min="6" max="9" width="15.875" customWidth="1"/>
    <col min="10" max="10" width="15.875" customWidth="1" outlineLevel="1"/>
    <col min="11" max="14" width="10.75" style="18" customWidth="1"/>
    <col min="15" max="15" width="10.75" style="18" customWidth="1" collapsed="1"/>
    <col min="16" max="18" width="10.75" style="18" customWidth="1"/>
    <col min="19" max="19" width="10.75" style="18" customWidth="1" collapsed="1"/>
    <col min="20" max="22" width="10.75" style="18" customWidth="1"/>
    <col min="23" max="23" width="10.75" style="18" customWidth="1" collapsed="1"/>
    <col min="24" max="26" width="10.75" style="18" customWidth="1"/>
    <col min="27" max="27" width="10.75" style="18" customWidth="1" collapsed="1"/>
    <col min="28" max="30" width="10.75" style="18" customWidth="1"/>
    <col min="31" max="31" width="10.75" style="18" customWidth="1" collapsed="1"/>
    <col min="32" max="34" width="10.75" style="18" customWidth="1"/>
    <col min="35" max="35" width="10.75" style="18" customWidth="1" collapsed="1"/>
    <col min="36" max="38" width="10.75" style="18" customWidth="1"/>
    <col min="39" max="39" width="10.75" style="18" customWidth="1" collapsed="1"/>
    <col min="40" max="42" width="10.75" style="18" customWidth="1"/>
    <col min="43" max="43" width="10.75" style="18" customWidth="1" collapsed="1"/>
    <col min="44" max="46" width="10.75" style="18" customWidth="1"/>
    <col min="47" max="47" width="10.75" style="18" customWidth="1" collapsed="1"/>
    <col min="48" max="50" width="10.75" style="18" customWidth="1"/>
    <col min="51" max="51" width="10.625" style="50" customWidth="1" collapsed="1"/>
    <col min="52" max="52" width="10.625" style="50" customWidth="1"/>
    <col min="53" max="16384" width="11" style="50"/>
  </cols>
  <sheetData>
    <row r="1" spans="1:52" customFormat="1" ht="82.5" customHeight="1">
      <c r="A1" s="3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customFormat="1" ht="36" customHeight="1">
      <c r="A2" s="39" t="s">
        <v>38</v>
      </c>
      <c r="B2" s="80" t="s">
        <v>5</v>
      </c>
      <c r="C2" s="11"/>
      <c r="D2" s="11"/>
      <c r="E2" s="11"/>
      <c r="F2" s="11"/>
      <c r="G2" s="6" t="s">
        <v>6</v>
      </c>
      <c r="H2" s="34"/>
      <c r="I2" s="35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customFormat="1" ht="33.75" customHeight="1">
      <c r="A3" s="2"/>
      <c r="B3" s="81"/>
      <c r="C3" s="12"/>
      <c r="D3" s="12"/>
      <c r="E3" s="12"/>
      <c r="F3" s="12"/>
      <c r="G3" s="5" t="s">
        <v>7</v>
      </c>
      <c r="H3" s="1"/>
      <c r="I3" s="36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customFormat="1" ht="19.5" customHeight="1">
      <c r="A4" s="2"/>
      <c r="B4" s="81"/>
      <c r="C4" s="12"/>
      <c r="D4" s="12"/>
      <c r="E4" s="12"/>
      <c r="F4" s="12"/>
      <c r="G4" s="5" t="s">
        <v>8</v>
      </c>
      <c r="H4" s="1"/>
      <c r="I4" s="36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customFormat="1" ht="71.25" customHeight="1">
      <c r="A5" s="2"/>
      <c r="B5" s="4" t="s">
        <v>37</v>
      </c>
      <c r="C5" s="38" t="s">
        <v>103</v>
      </c>
      <c r="D5" s="13"/>
      <c r="E5" s="13"/>
      <c r="F5" s="13"/>
      <c r="G5" s="8"/>
      <c r="H5" s="7"/>
      <c r="I5" s="37"/>
      <c r="J5" s="20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customFormat="1" ht="24.75" customHeight="1">
      <c r="A6" s="40"/>
      <c r="B6" s="2"/>
      <c r="C6" s="2"/>
      <c r="D6" s="2"/>
      <c r="E6" s="2"/>
      <c r="F6" s="2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customFormat="1" ht="29.25" customHeight="1">
      <c r="A7" s="64" t="s">
        <v>1</v>
      </c>
      <c r="B7" s="64" t="s">
        <v>17</v>
      </c>
      <c r="C7" s="64" t="s">
        <v>15</v>
      </c>
      <c r="D7" s="64" t="s">
        <v>16</v>
      </c>
      <c r="E7" s="87" t="s">
        <v>105</v>
      </c>
      <c r="F7" s="64" t="s">
        <v>13</v>
      </c>
      <c r="G7" s="64" t="s">
        <v>14</v>
      </c>
      <c r="H7" s="64" t="s">
        <v>18</v>
      </c>
      <c r="I7" s="64" t="s">
        <v>90</v>
      </c>
      <c r="J7" s="87" t="s">
        <v>101</v>
      </c>
      <c r="K7" s="21"/>
      <c r="L7" s="22"/>
      <c r="M7" s="22" t="s">
        <v>91</v>
      </c>
      <c r="N7" s="22"/>
      <c r="O7" s="23"/>
      <c r="P7" s="24"/>
      <c r="Q7" s="24" t="s">
        <v>92</v>
      </c>
      <c r="R7" s="24"/>
      <c r="S7" s="21"/>
      <c r="T7" s="22"/>
      <c r="U7" s="22" t="s">
        <v>93</v>
      </c>
      <c r="V7" s="22"/>
      <c r="W7" s="23"/>
      <c r="X7" s="24"/>
      <c r="Y7" s="24" t="s">
        <v>94</v>
      </c>
      <c r="Z7" s="24"/>
      <c r="AA7" s="21"/>
      <c r="AB7" s="22"/>
      <c r="AC7" s="22" t="s">
        <v>95</v>
      </c>
      <c r="AD7" s="22"/>
      <c r="AE7" s="23"/>
      <c r="AF7" s="24"/>
      <c r="AG7" s="24" t="s">
        <v>96</v>
      </c>
      <c r="AH7" s="24"/>
      <c r="AI7" s="21"/>
      <c r="AJ7" s="22"/>
      <c r="AK7" s="22" t="s">
        <v>97</v>
      </c>
      <c r="AL7" s="22"/>
      <c r="AM7" s="23"/>
      <c r="AN7" s="24"/>
      <c r="AO7" s="24" t="s">
        <v>98</v>
      </c>
      <c r="AP7" s="24"/>
      <c r="AQ7" s="21"/>
      <c r="AR7" s="22"/>
      <c r="AS7" s="22" t="s">
        <v>99</v>
      </c>
      <c r="AT7" s="22"/>
      <c r="AU7" s="23"/>
      <c r="AV7" s="24"/>
      <c r="AW7" s="24" t="s">
        <v>100</v>
      </c>
      <c r="AX7" s="43"/>
    </row>
    <row r="8" spans="1:52" customFormat="1" ht="61.5" customHeight="1">
      <c r="A8" s="65"/>
      <c r="B8" s="65"/>
      <c r="C8" s="65"/>
      <c r="D8" s="65"/>
      <c r="E8" s="88"/>
      <c r="F8" s="65"/>
      <c r="G8" s="65"/>
      <c r="H8" s="65"/>
      <c r="I8" s="65"/>
      <c r="J8" s="88"/>
      <c r="K8" s="17" t="s">
        <v>9</v>
      </c>
      <c r="L8" s="15" t="s">
        <v>10</v>
      </c>
      <c r="M8" s="16" t="s">
        <v>11</v>
      </c>
      <c r="N8" s="15" t="s">
        <v>12</v>
      </c>
      <c r="O8" s="17" t="s">
        <v>9</v>
      </c>
      <c r="P8" s="15" t="s">
        <v>10</v>
      </c>
      <c r="Q8" s="16" t="s">
        <v>11</v>
      </c>
      <c r="R8" s="15" t="s">
        <v>12</v>
      </c>
      <c r="S8" s="17" t="s">
        <v>9</v>
      </c>
      <c r="T8" s="15" t="s">
        <v>10</v>
      </c>
      <c r="U8" s="16" t="s">
        <v>11</v>
      </c>
      <c r="V8" s="15" t="s">
        <v>12</v>
      </c>
      <c r="W8" s="17" t="s">
        <v>9</v>
      </c>
      <c r="X8" s="15" t="s">
        <v>10</v>
      </c>
      <c r="Y8" s="16" t="s">
        <v>11</v>
      </c>
      <c r="Z8" s="15" t="s">
        <v>12</v>
      </c>
      <c r="AA8" s="17" t="s">
        <v>9</v>
      </c>
      <c r="AB8" s="15" t="s">
        <v>10</v>
      </c>
      <c r="AC8" s="16" t="s">
        <v>11</v>
      </c>
      <c r="AD8" s="15" t="s">
        <v>12</v>
      </c>
      <c r="AE8" s="17" t="s">
        <v>9</v>
      </c>
      <c r="AF8" s="15" t="s">
        <v>10</v>
      </c>
      <c r="AG8" s="16" t="s">
        <v>11</v>
      </c>
      <c r="AH8" s="15" t="s">
        <v>12</v>
      </c>
      <c r="AI8" s="17" t="s">
        <v>9</v>
      </c>
      <c r="AJ8" s="15" t="s">
        <v>10</v>
      </c>
      <c r="AK8" s="16" t="s">
        <v>11</v>
      </c>
      <c r="AL8" s="15" t="s">
        <v>12</v>
      </c>
      <c r="AM8" s="17" t="s">
        <v>9</v>
      </c>
      <c r="AN8" s="15" t="s">
        <v>10</v>
      </c>
      <c r="AO8" s="16" t="s">
        <v>11</v>
      </c>
      <c r="AP8" s="15" t="s">
        <v>12</v>
      </c>
      <c r="AQ8" s="17" t="s">
        <v>9</v>
      </c>
      <c r="AR8" s="15" t="s">
        <v>10</v>
      </c>
      <c r="AS8" s="16" t="s">
        <v>11</v>
      </c>
      <c r="AT8" s="15" t="s">
        <v>12</v>
      </c>
      <c r="AU8" s="17" t="s">
        <v>9</v>
      </c>
      <c r="AV8" s="15" t="s">
        <v>10</v>
      </c>
      <c r="AW8" s="16" t="s">
        <v>11</v>
      </c>
      <c r="AX8" s="44" t="s">
        <v>12</v>
      </c>
    </row>
    <row r="9" spans="1:52" customFormat="1" ht="19.5" customHeight="1">
      <c r="A9" s="47" t="s">
        <v>2</v>
      </c>
      <c r="B9" s="9"/>
      <c r="C9" s="9"/>
      <c r="D9" s="9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45"/>
    </row>
    <row r="10" spans="1:52" ht="15" customHeight="1">
      <c r="A10" s="67" t="s">
        <v>30</v>
      </c>
      <c r="B10" s="69" t="s">
        <v>26</v>
      </c>
      <c r="C10" s="58">
        <v>46090</v>
      </c>
      <c r="D10" s="58">
        <v>46090</v>
      </c>
      <c r="E10" s="60">
        <v>0.5</v>
      </c>
      <c r="F10" s="60">
        <f>SUM(K10:AX10)</f>
        <v>0.5</v>
      </c>
      <c r="G10" s="60">
        <v>0.25</v>
      </c>
      <c r="H10" s="60" t="s">
        <v>102</v>
      </c>
      <c r="I10" s="60">
        <f>IF(OR($E10="",$G10=""),"", $G10-$E10)</f>
        <v>-0.25</v>
      </c>
      <c r="J10" s="27" t="s">
        <v>3</v>
      </c>
      <c r="M10" s="14">
        <v>0.5</v>
      </c>
      <c r="AX10" s="49"/>
    </row>
    <row r="11" spans="1:52" ht="15" customHeight="1">
      <c r="A11" s="71"/>
      <c r="B11" s="70"/>
      <c r="C11" s="59"/>
      <c r="D11" s="59"/>
      <c r="E11" s="61"/>
      <c r="F11" s="61"/>
      <c r="G11" s="61"/>
      <c r="H11" s="61"/>
      <c r="I11" s="61"/>
      <c r="J11" s="28" t="s">
        <v>4</v>
      </c>
      <c r="K11" s="19"/>
      <c r="L11" s="19"/>
      <c r="M11" s="33">
        <v>0.25</v>
      </c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51"/>
    </row>
    <row r="12" spans="1:52" ht="15" customHeight="1">
      <c r="A12" s="67" t="s">
        <v>50</v>
      </c>
      <c r="B12" s="69" t="s">
        <v>51</v>
      </c>
      <c r="C12" s="58">
        <v>46091</v>
      </c>
      <c r="D12" s="58">
        <v>46091</v>
      </c>
      <c r="E12" s="60">
        <v>0.5</v>
      </c>
      <c r="F12" s="60">
        <f>SUM(K12:AX12)</f>
        <v>0.5</v>
      </c>
      <c r="G12" s="60">
        <f t="shared" ref="G12" si="0">IF(SUM(K13:AX13)=0,"",SUM(K13:AX13))</f>
        <v>0.5</v>
      </c>
      <c r="H12" s="60" t="s">
        <v>19</v>
      </c>
      <c r="I12" s="60">
        <f>IF(OR($E12="",$G12=""),"", $G12-$E12)</f>
        <v>0</v>
      </c>
      <c r="J12" s="42" t="s">
        <v>3</v>
      </c>
      <c r="P12" s="14">
        <v>0.5</v>
      </c>
      <c r="AX12" s="49"/>
    </row>
    <row r="13" spans="1:52" ht="15" customHeight="1">
      <c r="A13" s="71"/>
      <c r="B13" s="70"/>
      <c r="C13" s="59"/>
      <c r="D13" s="59"/>
      <c r="E13" s="61"/>
      <c r="F13" s="61"/>
      <c r="G13" s="61"/>
      <c r="H13" s="61"/>
      <c r="I13" s="61"/>
      <c r="J13" s="28" t="s">
        <v>4</v>
      </c>
      <c r="K13" s="19"/>
      <c r="L13" s="19"/>
      <c r="M13" s="19"/>
      <c r="N13" s="19"/>
      <c r="O13" s="19"/>
      <c r="P13" s="33">
        <v>0.5</v>
      </c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51"/>
    </row>
    <row r="14" spans="1:52" ht="15" customHeight="1">
      <c r="A14" s="67" t="s">
        <v>43</v>
      </c>
      <c r="B14" s="69" t="s">
        <v>26</v>
      </c>
      <c r="C14" s="58">
        <v>46091</v>
      </c>
      <c r="D14" s="58">
        <v>46091</v>
      </c>
      <c r="E14" s="60">
        <v>1</v>
      </c>
      <c r="F14" s="60">
        <v>1</v>
      </c>
      <c r="G14" s="60">
        <f t="shared" ref="G14:G16" si="1">IF(SUM(K15:AX15)=0,"",SUM(K15:AX15))</f>
        <v>0.75</v>
      </c>
      <c r="H14" s="60" t="s">
        <v>19</v>
      </c>
      <c r="I14" s="60">
        <f>IF(OR($E14="",$G14=""),"", $G14-$E14)</f>
        <v>-0.25</v>
      </c>
      <c r="J14" s="42" t="s">
        <v>3</v>
      </c>
      <c r="P14" s="14">
        <v>1</v>
      </c>
      <c r="AX14" s="49"/>
    </row>
    <row r="15" spans="1:52" ht="15" customHeight="1">
      <c r="A15" s="71"/>
      <c r="B15" s="70"/>
      <c r="C15" s="59"/>
      <c r="D15" s="59"/>
      <c r="E15" s="61"/>
      <c r="F15" s="61"/>
      <c r="G15" s="61"/>
      <c r="H15" s="61"/>
      <c r="I15" s="61"/>
      <c r="J15" s="28" t="s">
        <v>4</v>
      </c>
      <c r="K15" s="19"/>
      <c r="L15" s="19"/>
      <c r="M15" s="19"/>
      <c r="N15" s="19"/>
      <c r="O15" s="19"/>
      <c r="P15" s="33">
        <v>0.75</v>
      </c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51"/>
    </row>
    <row r="16" spans="1:52" ht="15" customHeight="1">
      <c r="A16" s="67" t="s">
        <v>44</v>
      </c>
      <c r="B16" s="69" t="s">
        <v>26</v>
      </c>
      <c r="C16" s="58">
        <v>46101</v>
      </c>
      <c r="D16" s="58">
        <v>46101</v>
      </c>
      <c r="E16" s="60">
        <v>1</v>
      </c>
      <c r="F16" s="60">
        <v>1</v>
      </c>
      <c r="G16" s="60">
        <f t="shared" si="1"/>
        <v>1</v>
      </c>
      <c r="H16" s="60" t="s">
        <v>19</v>
      </c>
      <c r="I16" s="60">
        <f>IF(OR($E16="",$G16=""),"", $G16-$E16)</f>
        <v>0</v>
      </c>
      <c r="J16" s="42" t="s">
        <v>3</v>
      </c>
      <c r="AM16" s="14">
        <v>1</v>
      </c>
      <c r="AX16" s="49"/>
    </row>
    <row r="17" spans="1:50" ht="15" customHeight="1">
      <c r="A17" s="71"/>
      <c r="B17" s="70"/>
      <c r="C17" s="59"/>
      <c r="D17" s="59"/>
      <c r="E17" s="61"/>
      <c r="F17" s="61"/>
      <c r="G17" s="61"/>
      <c r="H17" s="61"/>
      <c r="I17" s="61"/>
      <c r="J17" s="28" t="s">
        <v>4</v>
      </c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33">
        <v>1</v>
      </c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51"/>
    </row>
    <row r="18" spans="1:50" ht="20.100000000000001" customHeight="1">
      <c r="A18" s="47" t="s">
        <v>20</v>
      </c>
      <c r="B18" s="48"/>
      <c r="C18" s="9"/>
      <c r="D18" s="9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45"/>
    </row>
    <row r="19" spans="1:50" ht="15" customHeight="1">
      <c r="A19" s="67" t="s">
        <v>49</v>
      </c>
      <c r="B19" s="69" t="s">
        <v>26</v>
      </c>
      <c r="C19" s="58">
        <v>46090</v>
      </c>
      <c r="D19" s="58">
        <v>46090</v>
      </c>
      <c r="E19" s="60">
        <v>0.5</v>
      </c>
      <c r="F19" s="60">
        <v>0.5</v>
      </c>
      <c r="G19" s="60">
        <v>0.25</v>
      </c>
      <c r="H19" s="60" t="s">
        <v>102</v>
      </c>
      <c r="I19" s="60">
        <f>IF(OR($E19="",$G19=""),"", $G19-$E19)</f>
        <v>-0.25</v>
      </c>
      <c r="J19" s="27" t="s">
        <v>3</v>
      </c>
      <c r="M19" s="14">
        <v>0.5</v>
      </c>
      <c r="AX19" s="49"/>
    </row>
    <row r="20" spans="1:50" ht="15" customHeight="1">
      <c r="A20" s="68"/>
      <c r="B20" s="70"/>
      <c r="C20" s="59"/>
      <c r="D20" s="59"/>
      <c r="E20" s="61"/>
      <c r="F20" s="61"/>
      <c r="G20" s="61"/>
      <c r="H20" s="61"/>
      <c r="I20" s="61"/>
      <c r="J20" s="28" t="s">
        <v>4</v>
      </c>
      <c r="K20" s="19"/>
      <c r="L20" s="19"/>
      <c r="M20" s="33">
        <v>0.25</v>
      </c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51"/>
    </row>
    <row r="21" spans="1:50" ht="15" customHeight="1">
      <c r="A21" s="67" t="s">
        <v>25</v>
      </c>
      <c r="B21" s="69" t="s">
        <v>26</v>
      </c>
      <c r="C21" s="58">
        <v>46090</v>
      </c>
      <c r="D21" s="58">
        <v>46101</v>
      </c>
      <c r="E21" s="60">
        <v>4</v>
      </c>
      <c r="F21" s="60">
        <v>4</v>
      </c>
      <c r="G21" s="60">
        <f t="shared" ref="G21:G29" si="2">IF(SUM(K22:AX22)=0,"",SUM(K22:AX22))</f>
        <v>5.75</v>
      </c>
      <c r="H21" s="60" t="s">
        <v>102</v>
      </c>
      <c r="I21" s="60">
        <f>IF(OR($E21="",$G21=""),"", $G21-$E21)</f>
        <v>1.75</v>
      </c>
      <c r="J21" s="42" t="s">
        <v>3</v>
      </c>
      <c r="K21" s="14">
        <v>4</v>
      </c>
      <c r="L21" s="14"/>
      <c r="AX21" s="49"/>
    </row>
    <row r="22" spans="1:50" ht="15" customHeight="1">
      <c r="A22" s="68"/>
      <c r="B22" s="70"/>
      <c r="C22" s="59"/>
      <c r="D22" s="59"/>
      <c r="E22" s="61"/>
      <c r="F22" s="61"/>
      <c r="G22" s="61"/>
      <c r="H22" s="61"/>
      <c r="I22" s="61"/>
      <c r="J22" s="28" t="s">
        <v>4</v>
      </c>
      <c r="K22" s="33">
        <v>5</v>
      </c>
      <c r="L22" s="33"/>
      <c r="M22" s="33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33">
        <v>0.75</v>
      </c>
      <c r="AQ22" s="19"/>
      <c r="AR22" s="19"/>
      <c r="AS22" s="19"/>
      <c r="AT22" s="19"/>
      <c r="AU22" s="19"/>
      <c r="AV22" s="19"/>
      <c r="AW22" s="19"/>
      <c r="AX22" s="51"/>
    </row>
    <row r="23" spans="1:50" ht="15" customHeight="1">
      <c r="A23" s="67" t="s">
        <v>28</v>
      </c>
      <c r="B23" s="69" t="s">
        <v>26</v>
      </c>
      <c r="C23" s="58">
        <v>46090</v>
      </c>
      <c r="D23" s="58">
        <v>46090</v>
      </c>
      <c r="E23" s="60">
        <v>1</v>
      </c>
      <c r="F23" s="60">
        <v>1</v>
      </c>
      <c r="G23" s="60">
        <f t="shared" si="2"/>
        <v>1</v>
      </c>
      <c r="H23" s="60" t="s">
        <v>102</v>
      </c>
      <c r="I23" s="60">
        <f t="shared" ref="I23" si="3">IF(OR($E23="",$G23=""),"", $G23-$E23)</f>
        <v>0</v>
      </c>
      <c r="J23" s="42" t="s">
        <v>3</v>
      </c>
      <c r="M23" s="14">
        <v>1</v>
      </c>
      <c r="AX23" s="49"/>
    </row>
    <row r="24" spans="1:50" ht="15" customHeight="1">
      <c r="A24" s="68"/>
      <c r="B24" s="70"/>
      <c r="C24" s="59"/>
      <c r="D24" s="59"/>
      <c r="E24" s="61"/>
      <c r="F24" s="61"/>
      <c r="G24" s="61"/>
      <c r="H24" s="61"/>
      <c r="I24" s="61"/>
      <c r="J24" s="28" t="s">
        <v>4</v>
      </c>
      <c r="K24" s="19"/>
      <c r="L24" s="19"/>
      <c r="M24" s="33">
        <v>1</v>
      </c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51"/>
    </row>
    <row r="25" spans="1:50" ht="15" customHeight="1">
      <c r="A25" s="67" t="s">
        <v>47</v>
      </c>
      <c r="B25" s="69" t="s">
        <v>26</v>
      </c>
      <c r="C25" s="58">
        <v>46090</v>
      </c>
      <c r="D25" s="58">
        <v>46090</v>
      </c>
      <c r="E25" s="60">
        <v>0.5</v>
      </c>
      <c r="F25" s="60">
        <v>0.5</v>
      </c>
      <c r="G25" s="60">
        <v>0.75</v>
      </c>
      <c r="H25" s="60" t="s">
        <v>102</v>
      </c>
      <c r="I25" s="60">
        <f t="shared" ref="I25" si="4">IF(OR($E25="",$G25=""),"", $G25-$E25)</f>
        <v>0.25</v>
      </c>
      <c r="J25" s="42" t="s">
        <v>3</v>
      </c>
      <c r="N25" s="14">
        <v>0.5</v>
      </c>
      <c r="AX25" s="49"/>
    </row>
    <row r="26" spans="1:50" ht="15" customHeight="1">
      <c r="A26" s="68"/>
      <c r="B26" s="70"/>
      <c r="C26" s="59"/>
      <c r="D26" s="59"/>
      <c r="E26" s="61"/>
      <c r="F26" s="61"/>
      <c r="G26" s="61"/>
      <c r="H26" s="61"/>
      <c r="I26" s="61"/>
      <c r="J26" s="28" t="s">
        <v>4</v>
      </c>
      <c r="K26" s="19"/>
      <c r="L26" s="19"/>
      <c r="M26" s="19"/>
      <c r="N26" s="33">
        <v>0.75</v>
      </c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51"/>
    </row>
    <row r="27" spans="1:50" ht="15" customHeight="1">
      <c r="A27" s="67" t="s">
        <v>48</v>
      </c>
      <c r="B27" s="56" t="s">
        <v>26</v>
      </c>
      <c r="C27" s="58">
        <v>46090</v>
      </c>
      <c r="D27" s="58">
        <v>46090</v>
      </c>
      <c r="E27" s="60">
        <v>0.75</v>
      </c>
      <c r="F27" s="60">
        <v>0.75</v>
      </c>
      <c r="G27" s="60">
        <f t="shared" si="2"/>
        <v>0.75</v>
      </c>
      <c r="H27" s="60" t="s">
        <v>102</v>
      </c>
      <c r="I27" s="60">
        <f t="shared" ref="I27" si="5">IF(OR($E27="",$G27=""),"", $G27-$E27)</f>
        <v>0</v>
      </c>
      <c r="J27" s="42" t="s">
        <v>3</v>
      </c>
      <c r="N27" s="14">
        <v>0.75</v>
      </c>
      <c r="AX27" s="49"/>
    </row>
    <row r="28" spans="1:50" ht="15" customHeight="1">
      <c r="A28" s="71"/>
      <c r="B28" s="57"/>
      <c r="C28" s="59"/>
      <c r="D28" s="59"/>
      <c r="E28" s="61"/>
      <c r="F28" s="61"/>
      <c r="G28" s="61"/>
      <c r="H28" s="61"/>
      <c r="I28" s="61"/>
      <c r="J28" s="28" t="s">
        <v>4</v>
      </c>
      <c r="K28" s="19"/>
      <c r="L28" s="19"/>
      <c r="M28" s="19"/>
      <c r="N28" s="33">
        <v>0.75</v>
      </c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51"/>
    </row>
    <row r="29" spans="1:50" ht="15" customHeight="1">
      <c r="A29" s="67" t="s">
        <v>29</v>
      </c>
      <c r="B29" s="69" t="s">
        <v>26</v>
      </c>
      <c r="C29" s="58">
        <v>46091</v>
      </c>
      <c r="D29" s="58">
        <v>46091</v>
      </c>
      <c r="E29" s="60">
        <v>1</v>
      </c>
      <c r="F29" s="60">
        <v>1</v>
      </c>
      <c r="G29" s="60">
        <f t="shared" si="2"/>
        <v>1</v>
      </c>
      <c r="H29" s="60" t="s">
        <v>19</v>
      </c>
      <c r="I29" s="60">
        <f t="shared" ref="I29" si="6">IF(OR($E29="",$G29=""),"", $G29-$E29)</f>
        <v>0</v>
      </c>
      <c r="J29" s="42" t="s">
        <v>3</v>
      </c>
      <c r="O29" s="14">
        <v>1</v>
      </c>
      <c r="AX29" s="49"/>
    </row>
    <row r="30" spans="1:50" ht="15" customHeight="1">
      <c r="A30" s="68"/>
      <c r="B30" s="70"/>
      <c r="C30" s="59"/>
      <c r="D30" s="59"/>
      <c r="E30" s="61"/>
      <c r="F30" s="61"/>
      <c r="G30" s="61"/>
      <c r="H30" s="61"/>
      <c r="I30" s="61"/>
      <c r="J30" s="28" t="s">
        <v>4</v>
      </c>
      <c r="K30" s="19"/>
      <c r="L30" s="19"/>
      <c r="M30" s="19"/>
      <c r="N30" s="19"/>
      <c r="O30" s="33">
        <v>1</v>
      </c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51"/>
    </row>
    <row r="31" spans="1:50" ht="15" customHeight="1">
      <c r="A31" s="67" t="s">
        <v>53</v>
      </c>
      <c r="B31" s="69" t="s">
        <v>26</v>
      </c>
      <c r="C31" s="58">
        <v>46091</v>
      </c>
      <c r="D31" s="58">
        <v>46093</v>
      </c>
      <c r="E31" s="60">
        <v>1</v>
      </c>
      <c r="F31" s="60">
        <v>1</v>
      </c>
      <c r="G31" s="60">
        <v>1</v>
      </c>
      <c r="H31" s="60" t="s">
        <v>19</v>
      </c>
      <c r="I31" s="60">
        <f t="shared" ref="I31" si="7">IF(OR($E31="",$G31=""),"", $G31-$E31)</f>
        <v>0</v>
      </c>
      <c r="J31" s="42" t="s">
        <v>3</v>
      </c>
      <c r="Q31" s="14">
        <v>1</v>
      </c>
      <c r="V31" s="14">
        <v>1</v>
      </c>
      <c r="AX31" s="49"/>
    </row>
    <row r="32" spans="1:50" ht="15" customHeight="1">
      <c r="A32" s="68"/>
      <c r="B32" s="70"/>
      <c r="C32" s="59"/>
      <c r="D32" s="59"/>
      <c r="E32" s="61"/>
      <c r="F32" s="61"/>
      <c r="G32" s="61"/>
      <c r="H32" s="61"/>
      <c r="I32" s="61"/>
      <c r="J32" s="28" t="s">
        <v>4</v>
      </c>
      <c r="K32" s="19"/>
      <c r="L32" s="19"/>
      <c r="M32" s="19"/>
      <c r="N32" s="19"/>
      <c r="O32" s="19"/>
      <c r="P32" s="19"/>
      <c r="Q32" s="33">
        <v>1</v>
      </c>
      <c r="R32" s="19"/>
      <c r="S32" s="19"/>
      <c r="T32" s="19"/>
      <c r="U32" s="19"/>
      <c r="V32" s="33">
        <v>1</v>
      </c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51"/>
    </row>
    <row r="33" spans="1:50" ht="15" customHeight="1">
      <c r="A33" s="67" t="s">
        <v>54</v>
      </c>
      <c r="B33" s="69" t="s">
        <v>26</v>
      </c>
      <c r="C33" s="58">
        <v>46091</v>
      </c>
      <c r="D33" s="58">
        <v>46093</v>
      </c>
      <c r="E33" s="60">
        <v>1</v>
      </c>
      <c r="F33" s="60">
        <v>1</v>
      </c>
      <c r="G33" s="60">
        <v>1</v>
      </c>
      <c r="H33" s="60" t="s">
        <v>19</v>
      </c>
      <c r="I33" s="60">
        <f t="shared" ref="I33" si="8">IF(OR($E33="",$G33=""),"", $G33-$E33)</f>
        <v>0</v>
      </c>
      <c r="J33" s="42" t="s">
        <v>3</v>
      </c>
      <c r="O33" s="14">
        <v>1</v>
      </c>
      <c r="V33" s="14">
        <v>1</v>
      </c>
      <c r="AX33" s="49"/>
    </row>
    <row r="34" spans="1:50" ht="15" customHeight="1">
      <c r="A34" s="68"/>
      <c r="B34" s="70"/>
      <c r="C34" s="59"/>
      <c r="D34" s="59"/>
      <c r="E34" s="61"/>
      <c r="F34" s="61"/>
      <c r="G34" s="61"/>
      <c r="H34" s="61"/>
      <c r="I34" s="61"/>
      <c r="J34" s="28" t="s">
        <v>4</v>
      </c>
      <c r="K34" s="19"/>
      <c r="L34" s="19"/>
      <c r="M34" s="19"/>
      <c r="N34" s="19"/>
      <c r="O34" s="33">
        <v>1</v>
      </c>
      <c r="P34" s="19"/>
      <c r="Q34" s="19"/>
      <c r="R34" s="19"/>
      <c r="S34" s="19"/>
      <c r="T34" s="19"/>
      <c r="U34" s="19"/>
      <c r="V34" s="33">
        <v>1</v>
      </c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51"/>
    </row>
    <row r="35" spans="1:50" ht="15" customHeight="1">
      <c r="A35" s="67" t="s">
        <v>58</v>
      </c>
      <c r="B35" s="69" t="s">
        <v>26</v>
      </c>
      <c r="C35" s="58">
        <v>46093</v>
      </c>
      <c r="D35" s="58">
        <v>46093</v>
      </c>
      <c r="E35" s="60">
        <v>0.5</v>
      </c>
      <c r="F35" s="60">
        <f t="shared" ref="F35" si="9">SUM(K35:AX35)</f>
        <v>0.5</v>
      </c>
      <c r="G35" s="60">
        <f t="shared" ref="G35:G57" si="10">IF(SUM(K36:AX36)=0,"",SUM(K36:AX36))</f>
        <v>0.5</v>
      </c>
      <c r="H35" s="60" t="s">
        <v>19</v>
      </c>
      <c r="I35" s="60">
        <f t="shared" ref="I35" si="11">IF(OR($E35="",$G35=""),"", $G35-$E35)</f>
        <v>0</v>
      </c>
      <c r="J35" s="42" t="s">
        <v>3</v>
      </c>
      <c r="T35" s="14">
        <v>0.5</v>
      </c>
      <c r="AX35" s="49"/>
    </row>
    <row r="36" spans="1:50" ht="15" customHeight="1">
      <c r="A36" s="68"/>
      <c r="B36" s="70"/>
      <c r="C36" s="59"/>
      <c r="D36" s="59"/>
      <c r="E36" s="61"/>
      <c r="F36" s="61"/>
      <c r="G36" s="61"/>
      <c r="H36" s="61"/>
      <c r="I36" s="61"/>
      <c r="J36" s="28" t="s">
        <v>4</v>
      </c>
      <c r="K36" s="19"/>
      <c r="L36" s="19"/>
      <c r="M36" s="19"/>
      <c r="N36" s="19"/>
      <c r="O36" s="19"/>
      <c r="P36" s="19"/>
      <c r="Q36" s="19"/>
      <c r="R36" s="19"/>
      <c r="S36" s="19"/>
      <c r="T36" s="33">
        <v>0.5</v>
      </c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51"/>
    </row>
    <row r="37" spans="1:50" ht="15" customHeight="1">
      <c r="A37" s="67" t="s">
        <v>59</v>
      </c>
      <c r="B37" s="69" t="s">
        <v>26</v>
      </c>
      <c r="C37" s="58">
        <v>46094</v>
      </c>
      <c r="D37" s="58">
        <v>46094</v>
      </c>
      <c r="E37" s="60">
        <v>0.75</v>
      </c>
      <c r="F37" s="60">
        <f t="shared" ref="F37" si="12">SUM(K37:AX37)</f>
        <v>0.75</v>
      </c>
      <c r="G37" s="60">
        <f t="shared" si="10"/>
        <v>1</v>
      </c>
      <c r="H37" s="60" t="s">
        <v>19</v>
      </c>
      <c r="I37" s="60">
        <f t="shared" ref="I37" si="13">IF(OR($E37="",$G37=""),"", $G37-$E37)</f>
        <v>0.25</v>
      </c>
      <c r="J37" s="42" t="s">
        <v>3</v>
      </c>
      <c r="X37" s="14">
        <v>0.75</v>
      </c>
      <c r="AX37" s="49"/>
    </row>
    <row r="38" spans="1:50" ht="15" customHeight="1">
      <c r="A38" s="68"/>
      <c r="B38" s="70"/>
      <c r="C38" s="59"/>
      <c r="D38" s="59"/>
      <c r="E38" s="61"/>
      <c r="F38" s="61"/>
      <c r="G38" s="61"/>
      <c r="H38" s="61"/>
      <c r="I38" s="61"/>
      <c r="J38" s="28" t="s">
        <v>4</v>
      </c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33">
        <v>1</v>
      </c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51"/>
    </row>
    <row r="39" spans="1:50" ht="15" customHeight="1">
      <c r="A39" s="67" t="s">
        <v>61</v>
      </c>
      <c r="B39" s="69" t="s">
        <v>26</v>
      </c>
      <c r="C39" s="58">
        <v>46094</v>
      </c>
      <c r="D39" s="58">
        <v>46094</v>
      </c>
      <c r="E39" s="60">
        <v>2</v>
      </c>
      <c r="F39" s="60">
        <f t="shared" ref="F39" si="14">SUM(K39:AX39)</f>
        <v>2</v>
      </c>
      <c r="G39" s="60">
        <f t="shared" si="10"/>
        <v>1</v>
      </c>
      <c r="H39" s="60" t="s">
        <v>19</v>
      </c>
      <c r="I39" s="60">
        <f t="shared" ref="I39" si="15">IF(OR($E39="",$G39=""),"", $G39-$E39)</f>
        <v>-1</v>
      </c>
      <c r="J39" s="42" t="s">
        <v>3</v>
      </c>
      <c r="Y39" s="14">
        <v>2</v>
      </c>
      <c r="AX39" s="49"/>
    </row>
    <row r="40" spans="1:50" ht="15" customHeight="1">
      <c r="A40" s="68"/>
      <c r="B40" s="70"/>
      <c r="C40" s="59"/>
      <c r="D40" s="59"/>
      <c r="E40" s="61"/>
      <c r="F40" s="61"/>
      <c r="G40" s="61"/>
      <c r="H40" s="61"/>
      <c r="I40" s="61"/>
      <c r="J40" s="28" t="s">
        <v>4</v>
      </c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33">
        <v>1</v>
      </c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51"/>
    </row>
    <row r="41" spans="1:50" ht="15" customHeight="1">
      <c r="A41" s="67" t="s">
        <v>63</v>
      </c>
      <c r="B41" s="69" t="s">
        <v>26</v>
      </c>
      <c r="C41" s="58">
        <v>46097</v>
      </c>
      <c r="D41" s="58">
        <v>46097</v>
      </c>
      <c r="E41" s="60">
        <v>1.25</v>
      </c>
      <c r="F41" s="60">
        <f t="shared" ref="F41" si="16">SUM(K41:AX41)</f>
        <v>1.25</v>
      </c>
      <c r="G41" s="60">
        <f t="shared" si="10"/>
        <v>1.25</v>
      </c>
      <c r="H41" s="60" t="s">
        <v>19</v>
      </c>
      <c r="I41" s="60">
        <f t="shared" ref="I41" si="17">IF(OR($E41="",$G41=""),"", $G41-$E41)</f>
        <v>0</v>
      </c>
      <c r="J41" s="42" t="s">
        <v>3</v>
      </c>
      <c r="AC41" s="14">
        <v>1.25</v>
      </c>
      <c r="AX41" s="49"/>
    </row>
    <row r="42" spans="1:50" ht="15" customHeight="1">
      <c r="A42" s="68"/>
      <c r="B42" s="70"/>
      <c r="C42" s="59"/>
      <c r="D42" s="59"/>
      <c r="E42" s="61"/>
      <c r="F42" s="61"/>
      <c r="G42" s="61"/>
      <c r="H42" s="61"/>
      <c r="I42" s="61"/>
      <c r="J42" s="28" t="s">
        <v>4</v>
      </c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33">
        <v>1.25</v>
      </c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51"/>
    </row>
    <row r="43" spans="1:50">
      <c r="A43" s="67" t="s">
        <v>70</v>
      </c>
      <c r="B43" s="69" t="s">
        <v>26</v>
      </c>
      <c r="C43" s="58">
        <v>46101</v>
      </c>
      <c r="D43" s="58">
        <v>46101</v>
      </c>
      <c r="E43" s="60">
        <v>1.25</v>
      </c>
      <c r="F43" s="60">
        <f t="shared" ref="F43" si="18">SUM(K43:AX43)</f>
        <v>1.25</v>
      </c>
      <c r="G43" s="60">
        <f t="shared" si="10"/>
        <v>1.25</v>
      </c>
      <c r="H43" s="60" t="s">
        <v>19</v>
      </c>
      <c r="I43" s="60">
        <f t="shared" ref="I43" si="19">IF(OR($E43="",$G43=""),"", $G43-$E43)</f>
        <v>0</v>
      </c>
      <c r="J43" s="42" t="s">
        <v>3</v>
      </c>
      <c r="AG43" s="14">
        <v>1.25</v>
      </c>
      <c r="AX43" s="49"/>
    </row>
    <row r="44" spans="1:50">
      <c r="A44" s="68"/>
      <c r="B44" s="70"/>
      <c r="C44" s="59"/>
      <c r="D44" s="59"/>
      <c r="E44" s="61"/>
      <c r="F44" s="61"/>
      <c r="G44" s="61"/>
      <c r="H44" s="61"/>
      <c r="I44" s="61"/>
      <c r="J44" s="28" t="s">
        <v>4</v>
      </c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33">
        <v>1.25</v>
      </c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51"/>
    </row>
    <row r="45" spans="1:50" ht="15" customHeight="1">
      <c r="A45" s="67" t="s">
        <v>72</v>
      </c>
      <c r="B45" s="69" t="s">
        <v>26</v>
      </c>
      <c r="C45" s="58">
        <v>46098</v>
      </c>
      <c r="D45" s="58">
        <v>46098</v>
      </c>
      <c r="E45" s="60">
        <v>2</v>
      </c>
      <c r="F45" s="60">
        <f t="shared" ref="F45" si="20">SUM(K45:AX45)</f>
        <v>2</v>
      </c>
      <c r="G45" s="60">
        <f t="shared" si="10"/>
        <v>2</v>
      </c>
      <c r="H45" s="60" t="s">
        <v>19</v>
      </c>
      <c r="I45" s="60">
        <f t="shared" ref="I45" si="21">IF(OR($E45="",$G45=""),"", $G45-$E45)</f>
        <v>0</v>
      </c>
      <c r="J45" s="42" t="s">
        <v>3</v>
      </c>
      <c r="AJ45" s="14">
        <v>2</v>
      </c>
      <c r="AX45" s="49"/>
    </row>
    <row r="46" spans="1:50" ht="15" customHeight="1">
      <c r="A46" s="68"/>
      <c r="B46" s="70"/>
      <c r="C46" s="59"/>
      <c r="D46" s="59"/>
      <c r="E46" s="61"/>
      <c r="F46" s="61"/>
      <c r="G46" s="61"/>
      <c r="H46" s="61"/>
      <c r="I46" s="61"/>
      <c r="J46" s="28" t="s">
        <v>4</v>
      </c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33">
        <v>2</v>
      </c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51"/>
    </row>
    <row r="47" spans="1:50" ht="15" customHeight="1">
      <c r="A47" s="67" t="s">
        <v>78</v>
      </c>
      <c r="B47" s="69" t="s">
        <v>26</v>
      </c>
      <c r="C47" s="58">
        <v>46100</v>
      </c>
      <c r="D47" s="58">
        <v>46101</v>
      </c>
      <c r="E47" s="60">
        <v>2</v>
      </c>
      <c r="F47" s="60">
        <f t="shared" ref="F47" si="22">SUM(K47:AX47)</f>
        <v>2</v>
      </c>
      <c r="G47" s="60">
        <f t="shared" si="10"/>
        <v>2</v>
      </c>
      <c r="H47" s="60" t="s">
        <v>19</v>
      </c>
      <c r="I47" s="60">
        <f t="shared" ref="I47" si="23">IF(OR($E47="",$G47=""),"", $G47-$E47)</f>
        <v>0</v>
      </c>
      <c r="J47" s="42" t="s">
        <v>3</v>
      </c>
      <c r="AK47" s="14">
        <v>2</v>
      </c>
      <c r="AX47" s="49"/>
    </row>
    <row r="48" spans="1:50" ht="15" customHeight="1">
      <c r="A48" s="68"/>
      <c r="B48" s="70"/>
      <c r="C48" s="59"/>
      <c r="D48" s="59"/>
      <c r="E48" s="61"/>
      <c r="F48" s="61"/>
      <c r="G48" s="61"/>
      <c r="H48" s="61"/>
      <c r="I48" s="61"/>
      <c r="J48" s="28" t="s">
        <v>4</v>
      </c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33">
        <v>1.75</v>
      </c>
      <c r="AL48" s="19"/>
      <c r="AM48" s="19"/>
      <c r="AN48" s="19"/>
      <c r="AO48" s="33">
        <v>0.25</v>
      </c>
      <c r="AP48" s="19"/>
      <c r="AQ48" s="19"/>
      <c r="AR48" s="19"/>
      <c r="AS48" s="19"/>
      <c r="AT48" s="19"/>
      <c r="AU48" s="19"/>
      <c r="AV48" s="19"/>
      <c r="AW48" s="19"/>
      <c r="AX48" s="51"/>
    </row>
    <row r="49" spans="1:50" ht="15" customHeight="1">
      <c r="A49" s="67" t="s">
        <v>73</v>
      </c>
      <c r="B49" s="69" t="s">
        <v>26</v>
      </c>
      <c r="C49" s="58">
        <v>46100</v>
      </c>
      <c r="D49" s="58">
        <v>46100</v>
      </c>
      <c r="E49" s="60">
        <v>1</v>
      </c>
      <c r="F49" s="60">
        <f t="shared" ref="F49" si="24">SUM(K49:AX49)</f>
        <v>1</v>
      </c>
      <c r="G49" s="60">
        <f t="shared" si="10"/>
        <v>1.25</v>
      </c>
      <c r="H49" s="60" t="s">
        <v>19</v>
      </c>
      <c r="I49" s="60">
        <f t="shared" ref="I49" si="25">IF(OR($E49="",$G49=""),"", $G49-$E49)</f>
        <v>0.25</v>
      </c>
      <c r="J49" s="42" t="s">
        <v>3</v>
      </c>
      <c r="AL49" s="14">
        <v>1</v>
      </c>
      <c r="AX49" s="49"/>
    </row>
    <row r="50" spans="1:50" ht="15" customHeight="1">
      <c r="A50" s="68"/>
      <c r="B50" s="70"/>
      <c r="C50" s="59"/>
      <c r="D50" s="59"/>
      <c r="E50" s="61"/>
      <c r="F50" s="61"/>
      <c r="G50" s="61"/>
      <c r="H50" s="61"/>
      <c r="I50" s="61"/>
      <c r="J50" s="28" t="s">
        <v>4</v>
      </c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33">
        <v>1.25</v>
      </c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51"/>
    </row>
    <row r="51" spans="1:50" ht="15" customHeight="1">
      <c r="A51" s="67" t="s">
        <v>108</v>
      </c>
      <c r="B51" s="69" t="s">
        <v>26</v>
      </c>
      <c r="C51" s="58">
        <v>46100</v>
      </c>
      <c r="D51" s="58">
        <v>46100</v>
      </c>
      <c r="E51" s="60">
        <v>1</v>
      </c>
      <c r="F51" s="60">
        <f t="shared" ref="F51" si="26">SUM(K51:AX51)</f>
        <v>1</v>
      </c>
      <c r="G51" s="60">
        <f t="shared" si="10"/>
        <v>1.25</v>
      </c>
      <c r="H51" s="60" t="s">
        <v>19</v>
      </c>
      <c r="I51" s="60">
        <f t="shared" ref="I51" si="27">IF(OR($E51="",$G51=""),"", $G51-$E51)</f>
        <v>0.25</v>
      </c>
      <c r="J51" s="42" t="s">
        <v>3</v>
      </c>
      <c r="AJ51" s="14">
        <v>1</v>
      </c>
      <c r="AX51" s="49"/>
    </row>
    <row r="52" spans="1:50" ht="15" customHeight="1">
      <c r="A52" s="68"/>
      <c r="B52" s="70"/>
      <c r="C52" s="59"/>
      <c r="D52" s="59"/>
      <c r="E52" s="61"/>
      <c r="F52" s="61"/>
      <c r="G52" s="61"/>
      <c r="H52" s="61"/>
      <c r="I52" s="61"/>
      <c r="J52" s="28" t="s">
        <v>4</v>
      </c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33">
        <v>1.25</v>
      </c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51"/>
    </row>
    <row r="53" spans="1:50" ht="15" customHeight="1">
      <c r="A53" s="67" t="s">
        <v>109</v>
      </c>
      <c r="B53" s="69" t="s">
        <v>26</v>
      </c>
      <c r="C53" s="58">
        <v>46100</v>
      </c>
      <c r="D53" s="58">
        <v>46100</v>
      </c>
      <c r="E53" s="60">
        <v>1</v>
      </c>
      <c r="F53" s="60">
        <f t="shared" ref="F53" si="28">SUM(K53:AX53)</f>
        <v>1</v>
      </c>
      <c r="G53" s="60">
        <f t="shared" si="10"/>
        <v>1.5</v>
      </c>
      <c r="H53" s="60" t="s">
        <v>19</v>
      </c>
      <c r="I53" s="60">
        <f t="shared" ref="I53" si="29">IF(OR($E53="",$G53=""),"", $G53-$E53)</f>
        <v>0.5</v>
      </c>
      <c r="J53" s="42" t="s">
        <v>3</v>
      </c>
      <c r="AM53" s="14">
        <v>1</v>
      </c>
      <c r="AX53" s="49"/>
    </row>
    <row r="54" spans="1:50" ht="15" customHeight="1">
      <c r="A54" s="68"/>
      <c r="B54" s="70"/>
      <c r="C54" s="59"/>
      <c r="D54" s="59"/>
      <c r="E54" s="61"/>
      <c r="F54" s="61"/>
      <c r="G54" s="61"/>
      <c r="H54" s="61"/>
      <c r="I54" s="61"/>
      <c r="J54" s="28" t="s">
        <v>4</v>
      </c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33">
        <v>1.5</v>
      </c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51"/>
    </row>
    <row r="55" spans="1:50" ht="15" customHeight="1">
      <c r="A55" s="67" t="s">
        <v>77</v>
      </c>
      <c r="B55" s="69" t="s">
        <v>26</v>
      </c>
      <c r="C55" s="58">
        <v>46101</v>
      </c>
      <c r="D55" s="58">
        <v>46101</v>
      </c>
      <c r="E55" s="60">
        <v>1</v>
      </c>
      <c r="F55" s="60">
        <v>1</v>
      </c>
      <c r="G55" s="60">
        <f t="shared" si="10"/>
        <v>0.5</v>
      </c>
      <c r="H55" s="60" t="s">
        <v>19</v>
      </c>
      <c r="I55" s="60">
        <f t="shared" ref="I55" si="30">IF(OR($E55="",$G55=""),"", $G55-$E55)</f>
        <v>-0.5</v>
      </c>
      <c r="J55" s="42" t="s">
        <v>3</v>
      </c>
      <c r="AN55" s="14">
        <v>1</v>
      </c>
      <c r="AX55" s="49"/>
    </row>
    <row r="56" spans="1:50" ht="15" customHeight="1">
      <c r="A56" s="68"/>
      <c r="B56" s="70"/>
      <c r="C56" s="59"/>
      <c r="D56" s="59"/>
      <c r="E56" s="61"/>
      <c r="F56" s="61"/>
      <c r="G56" s="61"/>
      <c r="H56" s="61"/>
      <c r="I56" s="61"/>
      <c r="J56" s="28" t="s">
        <v>4</v>
      </c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33">
        <v>0.5</v>
      </c>
      <c r="AQ56" s="19"/>
      <c r="AR56" s="19"/>
      <c r="AS56" s="19"/>
      <c r="AT56" s="19"/>
      <c r="AU56" s="19"/>
      <c r="AV56" s="19"/>
      <c r="AW56" s="19"/>
      <c r="AX56" s="51"/>
    </row>
    <row r="57" spans="1:50" ht="15" customHeight="1">
      <c r="A57" s="67" t="s">
        <v>79</v>
      </c>
      <c r="B57" s="69" t="s">
        <v>26</v>
      </c>
      <c r="C57" s="58">
        <v>46101</v>
      </c>
      <c r="D57" s="58">
        <v>46101</v>
      </c>
      <c r="E57" s="60">
        <v>0.5</v>
      </c>
      <c r="F57" s="60">
        <f t="shared" ref="F57" si="31">SUM(K57:AX57)</f>
        <v>0.5</v>
      </c>
      <c r="G57" s="60">
        <f t="shared" si="10"/>
        <v>0.5</v>
      </c>
      <c r="H57" s="60" t="s">
        <v>19</v>
      </c>
      <c r="I57" s="60">
        <f t="shared" ref="I57" si="32">IF(OR($E57="",$G57=""),"", $G57-$E57)</f>
        <v>0</v>
      </c>
      <c r="J57" s="42" t="s">
        <v>3</v>
      </c>
      <c r="AN57" s="14">
        <v>0.5</v>
      </c>
      <c r="AX57" s="49"/>
    </row>
    <row r="58" spans="1:50" ht="15" customHeight="1">
      <c r="A58" s="68"/>
      <c r="B58" s="70"/>
      <c r="C58" s="59"/>
      <c r="D58" s="59"/>
      <c r="E58" s="61"/>
      <c r="F58" s="61"/>
      <c r="G58" s="61"/>
      <c r="H58" s="61"/>
      <c r="I58" s="61"/>
      <c r="J58" s="28" t="s">
        <v>4</v>
      </c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33">
        <v>0.5</v>
      </c>
      <c r="AQ58" s="19"/>
      <c r="AR58" s="19"/>
      <c r="AS58" s="19"/>
      <c r="AT58" s="19"/>
      <c r="AU58" s="19"/>
      <c r="AV58" s="19"/>
      <c r="AW58" s="19"/>
      <c r="AX58" s="51"/>
    </row>
    <row r="59" spans="1:50" ht="18.75" customHeight="1">
      <c r="A59" s="47" t="s">
        <v>21</v>
      </c>
      <c r="B59" s="48"/>
      <c r="C59" s="9"/>
      <c r="D59" s="9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45"/>
    </row>
    <row r="60" spans="1:50" ht="15" customHeight="1">
      <c r="A60" s="67" t="s">
        <v>27</v>
      </c>
      <c r="B60" s="69" t="s">
        <v>26</v>
      </c>
      <c r="C60" s="58">
        <v>46091</v>
      </c>
      <c r="D60" s="58">
        <v>46091</v>
      </c>
      <c r="E60" s="60">
        <v>0.5</v>
      </c>
      <c r="F60" s="60">
        <f t="shared" ref="F60" si="33">SUM(K60:AX60)</f>
        <v>0.5</v>
      </c>
      <c r="G60" s="60">
        <f t="shared" ref="G60:G68" si="34">IF(SUM(K61:AX61)=0,"",SUM(K61:AX61))</f>
        <v>0.5</v>
      </c>
      <c r="H60" s="60" t="s">
        <v>19</v>
      </c>
      <c r="I60" s="60">
        <f t="shared" ref="I60" si="35">IF(OR($E60="",$G60=""),"", $G60-$E60)</f>
        <v>0</v>
      </c>
      <c r="J60" s="27" t="s">
        <v>3</v>
      </c>
      <c r="P60" s="14">
        <v>0.5</v>
      </c>
      <c r="AX60" s="49"/>
    </row>
    <row r="61" spans="1:50" ht="15" customHeight="1">
      <c r="A61" s="71"/>
      <c r="B61" s="70"/>
      <c r="C61" s="59"/>
      <c r="D61" s="59"/>
      <c r="E61" s="61"/>
      <c r="F61" s="61"/>
      <c r="G61" s="61"/>
      <c r="H61" s="61"/>
      <c r="I61" s="61"/>
      <c r="J61" s="28" t="s">
        <v>4</v>
      </c>
      <c r="K61" s="19"/>
      <c r="L61" s="19"/>
      <c r="M61" s="19"/>
      <c r="N61" s="19"/>
      <c r="O61" s="19"/>
      <c r="P61" s="33">
        <v>0.5</v>
      </c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51"/>
    </row>
    <row r="62" spans="1:50" ht="15" customHeight="1">
      <c r="A62" s="54" t="s">
        <v>52</v>
      </c>
      <c r="B62" s="69" t="s">
        <v>26</v>
      </c>
      <c r="C62" s="58">
        <v>46093</v>
      </c>
      <c r="D62" s="58">
        <v>46101</v>
      </c>
      <c r="E62" s="60">
        <v>0.75</v>
      </c>
      <c r="F62" s="60">
        <f t="shared" ref="F62" si="36">SUM(K62:AX62)</f>
        <v>0.75</v>
      </c>
      <c r="G62" s="60">
        <f t="shared" si="34"/>
        <v>2</v>
      </c>
      <c r="H62" s="60" t="s">
        <v>19</v>
      </c>
      <c r="I62" s="60">
        <f t="shared" ref="I62" si="37">IF(OR($E62="",$G62=""),"", $G62-$E62)</f>
        <v>1.25</v>
      </c>
      <c r="J62" s="42" t="s">
        <v>3</v>
      </c>
      <c r="T62" s="14">
        <v>0.75</v>
      </c>
      <c r="AX62" s="49"/>
    </row>
    <row r="63" spans="1:50" ht="15" customHeight="1">
      <c r="A63" s="55"/>
      <c r="B63" s="70"/>
      <c r="C63" s="59"/>
      <c r="D63" s="59"/>
      <c r="E63" s="61"/>
      <c r="F63" s="61"/>
      <c r="G63" s="61"/>
      <c r="H63" s="61"/>
      <c r="I63" s="61"/>
      <c r="J63" s="28" t="s">
        <v>4</v>
      </c>
      <c r="K63" s="19"/>
      <c r="L63" s="19"/>
      <c r="M63" s="19"/>
      <c r="N63" s="19"/>
      <c r="O63" s="19"/>
      <c r="P63" s="19"/>
      <c r="Q63" s="19"/>
      <c r="R63" s="19"/>
      <c r="S63" s="33">
        <v>1</v>
      </c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33">
        <v>1</v>
      </c>
      <c r="AQ63" s="19"/>
      <c r="AR63" s="19"/>
      <c r="AS63" s="19"/>
      <c r="AT63" s="19"/>
      <c r="AU63" s="19"/>
      <c r="AV63" s="19"/>
      <c r="AW63" s="19"/>
      <c r="AX63" s="51"/>
    </row>
    <row r="64" spans="1:50" ht="15" customHeight="1">
      <c r="A64" s="54" t="s">
        <v>65</v>
      </c>
      <c r="B64" s="56" t="s">
        <v>39</v>
      </c>
      <c r="C64" s="58">
        <v>46093</v>
      </c>
      <c r="D64" s="58">
        <v>46093</v>
      </c>
      <c r="E64" s="60">
        <v>0.75</v>
      </c>
      <c r="F64" s="60">
        <f t="shared" ref="F64" si="38">SUM(K64:AX64)</f>
        <v>0.75</v>
      </c>
      <c r="G64" s="60">
        <f t="shared" ref="G64" si="39">IF(SUM(K65:AX65)=0,"",SUM(K65:AX65))</f>
        <v>0.5</v>
      </c>
      <c r="H64" s="60" t="s">
        <v>19</v>
      </c>
      <c r="I64" s="60">
        <f t="shared" ref="I64:I66" si="40">IF(OR($E64="",$G64=""),"", $G64-$E64)</f>
        <v>-0.25</v>
      </c>
      <c r="J64" s="42" t="s">
        <v>3</v>
      </c>
      <c r="S64" s="14">
        <v>0.75</v>
      </c>
      <c r="AX64" s="49"/>
    </row>
    <row r="65" spans="1:50" ht="15" customHeight="1">
      <c r="A65" s="55"/>
      <c r="B65" s="57"/>
      <c r="C65" s="59"/>
      <c r="D65" s="59"/>
      <c r="E65" s="61"/>
      <c r="F65" s="61"/>
      <c r="G65" s="61"/>
      <c r="H65" s="61"/>
      <c r="I65" s="61"/>
      <c r="J65" s="53" t="s">
        <v>4</v>
      </c>
      <c r="K65" s="19"/>
      <c r="L65" s="19"/>
      <c r="M65" s="19"/>
      <c r="N65" s="19"/>
      <c r="O65" s="19"/>
      <c r="P65" s="19"/>
      <c r="Q65" s="19"/>
      <c r="R65" s="19"/>
      <c r="S65" s="33">
        <v>0.5</v>
      </c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51"/>
    </row>
    <row r="66" spans="1:50" ht="15" customHeight="1">
      <c r="A66" s="54" t="s">
        <v>111</v>
      </c>
      <c r="B66" s="56" t="s">
        <v>110</v>
      </c>
      <c r="C66" s="58">
        <v>111841</v>
      </c>
      <c r="D66" s="58">
        <v>111841</v>
      </c>
      <c r="E66" s="60">
        <v>0.75</v>
      </c>
      <c r="F66" s="60">
        <f t="shared" ref="F66" si="41">SUM(K66:AX66)</f>
        <v>0.5</v>
      </c>
      <c r="G66" s="60">
        <f t="shared" si="34"/>
        <v>0.5</v>
      </c>
      <c r="H66" s="60" t="s">
        <v>19</v>
      </c>
      <c r="I66" s="60">
        <f t="shared" si="40"/>
        <v>-0.25</v>
      </c>
      <c r="J66" s="42" t="s">
        <v>3</v>
      </c>
      <c r="AG66" s="14">
        <v>0.5</v>
      </c>
      <c r="AX66" s="49"/>
    </row>
    <row r="67" spans="1:50" ht="15" customHeight="1">
      <c r="A67" s="55"/>
      <c r="B67" s="57"/>
      <c r="C67" s="59"/>
      <c r="D67" s="59"/>
      <c r="E67" s="61"/>
      <c r="F67" s="61"/>
      <c r="G67" s="61"/>
      <c r="H67" s="61"/>
      <c r="I67" s="61"/>
      <c r="J67" s="28" t="s">
        <v>4</v>
      </c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33">
        <v>0.5</v>
      </c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51"/>
    </row>
    <row r="68" spans="1:50" ht="15" customHeight="1">
      <c r="A68" s="54" t="s">
        <v>64</v>
      </c>
      <c r="B68" s="56" t="s">
        <v>110</v>
      </c>
      <c r="C68" s="58">
        <v>46098</v>
      </c>
      <c r="D68" s="58">
        <v>46101</v>
      </c>
      <c r="E68" s="60">
        <v>0.5</v>
      </c>
      <c r="F68" s="60">
        <f t="shared" ref="F68" si="42">SUM(K68:AX68)</f>
        <v>0.5</v>
      </c>
      <c r="G68" s="60">
        <f t="shared" si="34"/>
        <v>0.5</v>
      </c>
      <c r="H68" s="60" t="s">
        <v>19</v>
      </c>
      <c r="I68" s="60">
        <f t="shared" ref="I68" si="43">IF(OR($E68="",$G68=""),"", $G68-$E68)</f>
        <v>0</v>
      </c>
      <c r="J68" s="42" t="s">
        <v>3</v>
      </c>
      <c r="AE68" s="14">
        <v>0.5</v>
      </c>
      <c r="AX68" s="49"/>
    </row>
    <row r="69" spans="1:50" ht="15" customHeight="1">
      <c r="A69" s="55"/>
      <c r="B69" s="57"/>
      <c r="C69" s="59"/>
      <c r="D69" s="59"/>
      <c r="E69" s="61"/>
      <c r="F69" s="61"/>
      <c r="G69" s="61"/>
      <c r="H69" s="61"/>
      <c r="I69" s="61"/>
      <c r="J69" s="28" t="s">
        <v>4</v>
      </c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33">
        <v>0.5</v>
      </c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51"/>
    </row>
    <row r="70" spans="1:50" ht="20.100000000000001" customHeight="1">
      <c r="A70" s="47" t="s">
        <v>23</v>
      </c>
      <c r="B70" s="48"/>
      <c r="C70" s="9"/>
      <c r="D70" s="9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45"/>
    </row>
    <row r="71" spans="1:50" ht="15" customHeight="1">
      <c r="A71" s="67" t="s">
        <v>31</v>
      </c>
      <c r="B71" s="56" t="s">
        <v>26</v>
      </c>
      <c r="C71" s="85">
        <v>46093</v>
      </c>
      <c r="D71" s="85">
        <v>46093</v>
      </c>
      <c r="E71" s="60">
        <v>1.5</v>
      </c>
      <c r="F71" s="60">
        <f t="shared" ref="F71" si="44">SUM(K71:AX71)</f>
        <v>1.5</v>
      </c>
      <c r="G71" s="60">
        <f t="shared" ref="G71:G117" si="45">IF(SUM(K72:AX72)=0,"",SUM(K72:AX72))</f>
        <v>1.25</v>
      </c>
      <c r="H71" s="60" t="s">
        <v>19</v>
      </c>
      <c r="I71" s="60">
        <f t="shared" ref="I71" si="46">IF(OR($E71="",$G71=""),"", $G71-$E71)</f>
        <v>-0.25</v>
      </c>
      <c r="J71" s="27" t="s">
        <v>3</v>
      </c>
      <c r="S71" s="14">
        <v>1.5</v>
      </c>
      <c r="AX71" s="49"/>
    </row>
    <row r="72" spans="1:50" ht="15" customHeight="1">
      <c r="A72" s="71"/>
      <c r="B72" s="57"/>
      <c r="C72" s="86"/>
      <c r="D72" s="86"/>
      <c r="E72" s="61"/>
      <c r="F72" s="61"/>
      <c r="G72" s="61"/>
      <c r="H72" s="61"/>
      <c r="I72" s="61"/>
      <c r="J72" s="28" t="s">
        <v>4</v>
      </c>
      <c r="K72" s="19"/>
      <c r="L72" s="19"/>
      <c r="M72" s="19"/>
      <c r="N72" s="19"/>
      <c r="O72" s="19"/>
      <c r="P72" s="19"/>
      <c r="Q72" s="19"/>
      <c r="R72" s="19"/>
      <c r="T72" s="33">
        <v>0.75</v>
      </c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33">
        <v>0.5</v>
      </c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51"/>
    </row>
    <row r="73" spans="1:50" ht="15.75" customHeight="1">
      <c r="A73" s="67" t="s">
        <v>32</v>
      </c>
      <c r="B73" s="56" t="s">
        <v>26</v>
      </c>
      <c r="C73" s="85">
        <v>46093</v>
      </c>
      <c r="D73" s="85">
        <v>46093</v>
      </c>
      <c r="E73" s="60">
        <v>1.5</v>
      </c>
      <c r="F73" s="60">
        <f t="shared" ref="F73" si="47">SUM(K73:AX73)</f>
        <v>1.5</v>
      </c>
      <c r="G73" s="60">
        <f t="shared" si="45"/>
        <v>0.75</v>
      </c>
      <c r="H73" s="60" t="s">
        <v>19</v>
      </c>
      <c r="I73" s="60">
        <f t="shared" ref="I73" si="48">IF(OR($E73="",$G73=""),"", $G73-$E73)</f>
        <v>-0.75</v>
      </c>
      <c r="J73" s="42" t="s">
        <v>3</v>
      </c>
      <c r="K73" s="52"/>
      <c r="L73" s="52"/>
      <c r="M73" s="52"/>
      <c r="N73" s="52"/>
      <c r="O73" s="52"/>
      <c r="P73" s="52"/>
      <c r="Q73" s="52"/>
      <c r="R73" s="52"/>
      <c r="S73" s="14">
        <v>1.5</v>
      </c>
      <c r="U73" s="52"/>
      <c r="V73" s="52"/>
      <c r="W73" s="52"/>
      <c r="X73" s="52"/>
      <c r="Y73" s="52"/>
      <c r="Z73" s="52"/>
      <c r="AA73" s="52"/>
      <c r="AB73" s="52"/>
      <c r="AC73" s="52"/>
      <c r="AD73" s="52"/>
      <c r="AE73" s="52"/>
      <c r="AF73" s="52"/>
      <c r="AG73" s="52"/>
      <c r="AH73" s="52"/>
      <c r="AI73" s="52"/>
      <c r="AJ73" s="52"/>
      <c r="AK73" s="52"/>
      <c r="AL73" s="52"/>
      <c r="AM73" s="52"/>
      <c r="AN73" s="52"/>
      <c r="AO73" s="52"/>
      <c r="AP73" s="52"/>
      <c r="AQ73" s="52"/>
      <c r="AR73" s="52"/>
      <c r="AS73" s="52"/>
      <c r="AT73" s="52"/>
      <c r="AU73" s="52"/>
      <c r="AV73" s="52"/>
      <c r="AW73" s="52"/>
      <c r="AX73" s="49"/>
    </row>
    <row r="74" spans="1:50" ht="15" customHeight="1">
      <c r="A74" s="71"/>
      <c r="B74" s="57"/>
      <c r="C74" s="86"/>
      <c r="D74" s="86"/>
      <c r="E74" s="61"/>
      <c r="F74" s="61"/>
      <c r="G74" s="61"/>
      <c r="H74" s="61"/>
      <c r="I74" s="61"/>
      <c r="J74" s="28" t="s">
        <v>4</v>
      </c>
      <c r="K74" s="19"/>
      <c r="L74" s="19"/>
      <c r="M74" s="19"/>
      <c r="N74" s="19"/>
      <c r="O74" s="19"/>
      <c r="P74" s="19"/>
      <c r="Q74" s="19"/>
      <c r="R74" s="19"/>
      <c r="S74" s="19"/>
      <c r="T74" s="33">
        <v>0.75</v>
      </c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51"/>
    </row>
    <row r="75" spans="1:50" ht="15" customHeight="1">
      <c r="A75" s="54" t="s">
        <v>57</v>
      </c>
      <c r="B75" s="56" t="s">
        <v>26</v>
      </c>
      <c r="C75" s="85">
        <v>46093</v>
      </c>
      <c r="D75" s="85">
        <v>46100</v>
      </c>
      <c r="E75" s="60">
        <v>3</v>
      </c>
      <c r="F75" s="60">
        <f t="shared" ref="F75" si="49">SUM(K75:AX75)</f>
        <v>3</v>
      </c>
      <c r="G75" s="60">
        <f t="shared" si="45"/>
        <v>2.5</v>
      </c>
      <c r="H75" s="60" t="s">
        <v>19</v>
      </c>
      <c r="I75" s="60">
        <f t="shared" ref="I75" si="50">IF(OR($E75="",$G75=""),"", $G75-$E75)</f>
        <v>-0.5</v>
      </c>
      <c r="J75" s="42" t="s">
        <v>3</v>
      </c>
      <c r="R75" s="18" t="s">
        <v>106</v>
      </c>
      <c r="U75" s="14">
        <v>3</v>
      </c>
      <c r="V75" s="14"/>
      <c r="AX75" s="49"/>
    </row>
    <row r="76" spans="1:50" ht="15.75" customHeight="1">
      <c r="A76" s="55"/>
      <c r="B76" s="57"/>
      <c r="C76" s="86"/>
      <c r="D76" s="86"/>
      <c r="E76" s="61"/>
      <c r="F76" s="61"/>
      <c r="G76" s="61"/>
      <c r="H76" s="61"/>
      <c r="I76" s="61"/>
      <c r="J76" s="28" t="s">
        <v>4</v>
      </c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33">
        <v>2</v>
      </c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33">
        <v>0.5</v>
      </c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51"/>
    </row>
    <row r="77" spans="1:50" ht="15" customHeight="1">
      <c r="A77" s="54" t="s">
        <v>33</v>
      </c>
      <c r="B77" s="56" t="s">
        <v>26</v>
      </c>
      <c r="C77" s="58">
        <v>46094</v>
      </c>
      <c r="D77" s="58">
        <v>46094</v>
      </c>
      <c r="E77" s="60">
        <v>3</v>
      </c>
      <c r="F77" s="60">
        <f t="shared" ref="F77" si="51">SUM(K77:AX77)</f>
        <v>3</v>
      </c>
      <c r="G77" s="60">
        <f t="shared" si="45"/>
        <v>3.5</v>
      </c>
      <c r="H77" s="60" t="s">
        <v>19</v>
      </c>
      <c r="I77" s="60">
        <f t="shared" ref="I77" si="52">IF(OR($E77="",$G77=""),"", $G77-$E77)</f>
        <v>0.5</v>
      </c>
      <c r="J77" s="42" t="s">
        <v>3</v>
      </c>
      <c r="W77" s="14">
        <v>3</v>
      </c>
      <c r="X77" s="14"/>
      <c r="AX77" s="49"/>
    </row>
    <row r="78" spans="1:50" ht="15.75" customHeight="1">
      <c r="A78" s="55"/>
      <c r="B78" s="57"/>
      <c r="C78" s="59"/>
      <c r="D78" s="59"/>
      <c r="E78" s="61"/>
      <c r="F78" s="61"/>
      <c r="G78" s="61"/>
      <c r="H78" s="61"/>
      <c r="I78" s="61"/>
      <c r="J78" s="28" t="s">
        <v>4</v>
      </c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33">
        <v>3</v>
      </c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33">
        <v>0.5</v>
      </c>
      <c r="AQ78" s="19"/>
      <c r="AR78" s="19"/>
      <c r="AS78" s="19"/>
      <c r="AT78" s="19"/>
      <c r="AU78" s="19"/>
      <c r="AV78" s="19"/>
      <c r="AW78" s="19"/>
      <c r="AX78" s="51"/>
    </row>
    <row r="79" spans="1:50" ht="15" customHeight="1">
      <c r="A79" s="54" t="s">
        <v>62</v>
      </c>
      <c r="B79" s="56" t="s">
        <v>26</v>
      </c>
      <c r="C79" s="58">
        <v>46094</v>
      </c>
      <c r="D79" s="58">
        <v>46094</v>
      </c>
      <c r="E79" s="60">
        <v>1.25</v>
      </c>
      <c r="F79" s="60">
        <f t="shared" ref="F79" si="53">SUM(K79:AX79)</f>
        <v>1.25</v>
      </c>
      <c r="G79" s="60">
        <f t="shared" si="45"/>
        <v>1</v>
      </c>
      <c r="H79" s="60" t="s">
        <v>19</v>
      </c>
      <c r="I79" s="60">
        <f t="shared" ref="I79" si="54">IF(OR($E79="",$G79=""),"", $G79-$E79)</f>
        <v>-0.25</v>
      </c>
      <c r="J79" s="42" t="s">
        <v>3</v>
      </c>
      <c r="Z79" s="14">
        <v>1.25</v>
      </c>
      <c r="AX79" s="49"/>
    </row>
    <row r="80" spans="1:50">
      <c r="A80" s="55"/>
      <c r="B80" s="57"/>
      <c r="C80" s="59"/>
      <c r="D80" s="59"/>
      <c r="E80" s="61"/>
      <c r="F80" s="61"/>
      <c r="G80" s="61"/>
      <c r="H80" s="61"/>
      <c r="I80" s="61"/>
      <c r="J80" s="28" t="s">
        <v>4</v>
      </c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33">
        <v>1</v>
      </c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51"/>
    </row>
    <row r="81" spans="1:50" ht="15" customHeight="1">
      <c r="A81" s="54" t="s">
        <v>60</v>
      </c>
      <c r="B81" s="56" t="s">
        <v>26</v>
      </c>
      <c r="C81" s="58">
        <v>46094</v>
      </c>
      <c r="D81" s="58">
        <v>46094</v>
      </c>
      <c r="E81" s="60">
        <v>1</v>
      </c>
      <c r="F81" s="60">
        <f t="shared" ref="F81" si="55">SUM(K81:AX81)</f>
        <v>1</v>
      </c>
      <c r="G81" s="60">
        <f t="shared" si="45"/>
        <v>1.5</v>
      </c>
      <c r="H81" s="60" t="s">
        <v>19</v>
      </c>
      <c r="I81" s="60">
        <f t="shared" ref="I81:I83" si="56">IF(OR($E81="",$G81=""),"", $G81-$E81)</f>
        <v>0.5</v>
      </c>
      <c r="J81" s="42" t="s">
        <v>3</v>
      </c>
      <c r="Z81" s="14">
        <v>1</v>
      </c>
      <c r="AX81" s="49"/>
    </row>
    <row r="82" spans="1:50" ht="15.75" customHeight="1">
      <c r="A82" s="55"/>
      <c r="B82" s="57"/>
      <c r="C82" s="59"/>
      <c r="D82" s="59"/>
      <c r="E82" s="61"/>
      <c r="F82" s="61"/>
      <c r="G82" s="61"/>
      <c r="H82" s="61"/>
      <c r="I82" s="61"/>
      <c r="J82" s="28" t="s">
        <v>4</v>
      </c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33">
        <v>1.5</v>
      </c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51"/>
    </row>
    <row r="83" spans="1:50" ht="15" customHeight="1">
      <c r="A83" s="83" t="s">
        <v>55</v>
      </c>
      <c r="B83" s="56" t="s">
        <v>26</v>
      </c>
      <c r="C83" s="58">
        <v>46091</v>
      </c>
      <c r="D83" s="58">
        <v>46091</v>
      </c>
      <c r="E83" s="60">
        <v>0.5</v>
      </c>
      <c r="F83" s="60">
        <f t="shared" ref="F83" si="57">SUM(K83:AX83)</f>
        <v>0.5</v>
      </c>
      <c r="G83" s="60">
        <f t="shared" si="45"/>
        <v>0.5</v>
      </c>
      <c r="H83" s="60" t="s">
        <v>19</v>
      </c>
      <c r="I83" s="60">
        <f t="shared" si="56"/>
        <v>0</v>
      </c>
      <c r="J83" s="42" t="s">
        <v>3</v>
      </c>
      <c r="Q83" s="14">
        <v>0.5</v>
      </c>
      <c r="AX83" s="49"/>
    </row>
    <row r="84" spans="1:50" ht="15.75" customHeight="1">
      <c r="A84" s="84"/>
      <c r="B84" s="57"/>
      <c r="C84" s="59"/>
      <c r="D84" s="59"/>
      <c r="E84" s="61"/>
      <c r="F84" s="61"/>
      <c r="G84" s="61"/>
      <c r="H84" s="61"/>
      <c r="I84" s="61"/>
      <c r="J84" s="28" t="s">
        <v>4</v>
      </c>
      <c r="K84" s="19"/>
      <c r="L84" s="19"/>
      <c r="M84" s="19"/>
      <c r="N84" s="19"/>
      <c r="O84" s="19"/>
      <c r="P84" s="19"/>
      <c r="Q84" s="33">
        <v>0.5</v>
      </c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51"/>
    </row>
    <row r="85" spans="1:50" ht="15" customHeight="1">
      <c r="A85" s="83" t="s">
        <v>56</v>
      </c>
      <c r="B85" s="56" t="s">
        <v>26</v>
      </c>
      <c r="C85" s="58">
        <v>46091</v>
      </c>
      <c r="D85" s="58">
        <v>46091</v>
      </c>
      <c r="E85" s="60">
        <v>0.75</v>
      </c>
      <c r="F85" s="60">
        <f t="shared" ref="F85" si="58">SUM(K85:AX85)</f>
        <v>0.75</v>
      </c>
      <c r="G85" s="60">
        <v>0.75</v>
      </c>
      <c r="H85" s="60" t="s">
        <v>19</v>
      </c>
      <c r="I85" s="60">
        <f t="shared" ref="I85" si="59">IF(OR($E85="",$G85=""),"", $G85-$E85)</f>
        <v>0</v>
      </c>
      <c r="J85" s="42" t="s">
        <v>3</v>
      </c>
      <c r="V85" s="14">
        <v>0.75</v>
      </c>
      <c r="AX85" s="49"/>
    </row>
    <row r="86" spans="1:50" ht="15.75" customHeight="1">
      <c r="A86" s="84"/>
      <c r="B86" s="57"/>
      <c r="C86" s="59"/>
      <c r="D86" s="59"/>
      <c r="E86" s="61"/>
      <c r="F86" s="61"/>
      <c r="G86" s="61"/>
      <c r="H86" s="61"/>
      <c r="I86" s="61"/>
      <c r="J86" s="28" t="s">
        <v>4</v>
      </c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33">
        <v>0.5</v>
      </c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51"/>
    </row>
    <row r="87" spans="1:50" ht="15" customHeight="1">
      <c r="A87" s="54" t="s">
        <v>34</v>
      </c>
      <c r="B87" s="56" t="s">
        <v>26</v>
      </c>
      <c r="C87" s="58">
        <v>46097</v>
      </c>
      <c r="D87" s="58">
        <v>46097</v>
      </c>
      <c r="E87" s="60">
        <v>1.5</v>
      </c>
      <c r="F87" s="60">
        <f t="shared" ref="F87" si="60">SUM(K87:AX87)</f>
        <v>1.5</v>
      </c>
      <c r="G87" s="60">
        <f t="shared" si="45"/>
        <v>1.5</v>
      </c>
      <c r="H87" s="60" t="s">
        <v>19</v>
      </c>
      <c r="I87" s="60">
        <f t="shared" ref="I87" si="61">IF(OR($E87="",$G87=""),"", $G87-$E87)</f>
        <v>0</v>
      </c>
      <c r="J87" s="42" t="s">
        <v>3</v>
      </c>
      <c r="AA87" s="14">
        <v>1.5</v>
      </c>
      <c r="AX87" s="49"/>
    </row>
    <row r="88" spans="1:50" ht="15.6" customHeight="1">
      <c r="A88" s="55"/>
      <c r="B88" s="57"/>
      <c r="C88" s="59"/>
      <c r="D88" s="59"/>
      <c r="E88" s="61"/>
      <c r="F88" s="61"/>
      <c r="G88" s="61"/>
      <c r="H88" s="61"/>
      <c r="I88" s="61"/>
      <c r="J88" s="28" t="s">
        <v>4</v>
      </c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33">
        <v>1.5</v>
      </c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51"/>
    </row>
    <row r="89" spans="1:50" ht="15" customHeight="1">
      <c r="A89" s="54" t="s">
        <v>67</v>
      </c>
      <c r="B89" s="56" t="s">
        <v>26</v>
      </c>
      <c r="C89" s="58">
        <v>46097</v>
      </c>
      <c r="D89" s="58">
        <v>46098</v>
      </c>
      <c r="E89" s="60">
        <v>2</v>
      </c>
      <c r="F89" s="60">
        <f t="shared" ref="F89" si="62">SUM(K89:AX89)</f>
        <v>2</v>
      </c>
      <c r="G89" s="60">
        <f t="shared" si="45"/>
        <v>2</v>
      </c>
      <c r="H89" s="60" t="s">
        <v>19</v>
      </c>
      <c r="I89" s="60">
        <f t="shared" ref="I89" si="63">IF(OR($E89="",$G89=""),"", $G89-$E89)</f>
        <v>0</v>
      </c>
      <c r="J89" s="42" t="s">
        <v>3</v>
      </c>
      <c r="AB89" s="14">
        <v>1</v>
      </c>
      <c r="AF89" s="14">
        <v>1</v>
      </c>
      <c r="AX89" s="49"/>
    </row>
    <row r="90" spans="1:50" ht="15.75" customHeight="1">
      <c r="A90" s="55"/>
      <c r="B90" s="57"/>
      <c r="C90" s="59"/>
      <c r="D90" s="59"/>
      <c r="E90" s="61"/>
      <c r="F90" s="61"/>
      <c r="G90" s="61"/>
      <c r="H90" s="61"/>
      <c r="I90" s="61"/>
      <c r="J90" s="28" t="s">
        <v>4</v>
      </c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33">
        <v>1</v>
      </c>
      <c r="AC90" s="19"/>
      <c r="AD90" s="19"/>
      <c r="AE90" s="19"/>
      <c r="AF90" s="33">
        <v>1</v>
      </c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51"/>
    </row>
    <row r="91" spans="1:50" ht="15" customHeight="1">
      <c r="A91" s="54" t="s">
        <v>35</v>
      </c>
      <c r="B91" s="56" t="s">
        <v>26</v>
      </c>
      <c r="C91" s="58">
        <v>46097</v>
      </c>
      <c r="D91" s="58">
        <v>46097</v>
      </c>
      <c r="E91" s="60">
        <v>0.5</v>
      </c>
      <c r="F91" s="60">
        <v>0.5</v>
      </c>
      <c r="G91" s="60">
        <f t="shared" si="45"/>
        <v>0.5</v>
      </c>
      <c r="H91" s="60" t="s">
        <v>19</v>
      </c>
      <c r="I91" s="60">
        <f t="shared" ref="I91" si="64">IF(OR($E91="",$G91=""),"", $G91-$E91)</f>
        <v>0</v>
      </c>
      <c r="J91" s="42" t="s">
        <v>3</v>
      </c>
      <c r="AC91" s="14">
        <v>0.75</v>
      </c>
      <c r="AX91" s="49"/>
    </row>
    <row r="92" spans="1:50" ht="15.75" customHeight="1">
      <c r="A92" s="55"/>
      <c r="B92" s="57"/>
      <c r="C92" s="59"/>
      <c r="D92" s="59"/>
      <c r="E92" s="61"/>
      <c r="F92" s="61"/>
      <c r="G92" s="61"/>
      <c r="H92" s="61"/>
      <c r="I92" s="61"/>
      <c r="J92" s="28" t="s">
        <v>4</v>
      </c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33">
        <v>0.5</v>
      </c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51"/>
    </row>
    <row r="93" spans="1:50" ht="15" customHeight="1">
      <c r="A93" s="54" t="s">
        <v>74</v>
      </c>
      <c r="B93" s="56" t="s">
        <v>26</v>
      </c>
      <c r="C93" s="58">
        <v>46097</v>
      </c>
      <c r="D93" s="58">
        <v>46097</v>
      </c>
      <c r="E93" s="60">
        <v>1.25</v>
      </c>
      <c r="F93" s="60">
        <f t="shared" ref="F93" si="65">SUM(K93:AX93)</f>
        <v>1.25</v>
      </c>
      <c r="G93" s="60">
        <f t="shared" si="45"/>
        <v>2</v>
      </c>
      <c r="H93" s="60" t="s">
        <v>19</v>
      </c>
      <c r="I93" s="60">
        <f t="shared" ref="I93" si="66">IF(OR($E93="",$G93=""),"", $G93-$E93)</f>
        <v>0.75</v>
      </c>
      <c r="J93" s="42" t="s">
        <v>3</v>
      </c>
      <c r="AD93" s="14">
        <v>1.25</v>
      </c>
      <c r="AX93" s="49"/>
    </row>
    <row r="94" spans="1:50" ht="15.75" customHeight="1">
      <c r="A94" s="55"/>
      <c r="B94" s="57"/>
      <c r="C94" s="59"/>
      <c r="D94" s="59"/>
      <c r="E94" s="61"/>
      <c r="F94" s="61"/>
      <c r="G94" s="61"/>
      <c r="H94" s="61"/>
      <c r="I94" s="61"/>
      <c r="J94" s="28" t="s">
        <v>4</v>
      </c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33">
        <v>2</v>
      </c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51"/>
    </row>
    <row r="95" spans="1:50" ht="15" customHeight="1">
      <c r="A95" s="54" t="s">
        <v>68</v>
      </c>
      <c r="B95" s="56" t="s">
        <v>26</v>
      </c>
      <c r="C95" s="58">
        <v>46097</v>
      </c>
      <c r="D95" s="58">
        <v>46098</v>
      </c>
      <c r="E95" s="60">
        <v>2</v>
      </c>
      <c r="F95" s="60">
        <f t="shared" ref="F95" si="67">SUM(K95:AX95)</f>
        <v>2</v>
      </c>
      <c r="G95" s="60">
        <f t="shared" si="45"/>
        <v>2</v>
      </c>
      <c r="H95" s="60" t="s">
        <v>19</v>
      </c>
      <c r="I95" s="60">
        <f t="shared" ref="I95" si="68">IF(OR($E95="",$G95=""),"", $G95-$E95)</f>
        <v>0</v>
      </c>
      <c r="J95" s="42" t="s">
        <v>3</v>
      </c>
      <c r="AC95" s="14">
        <v>1</v>
      </c>
      <c r="AG95" s="14">
        <v>1</v>
      </c>
      <c r="AX95" s="49"/>
    </row>
    <row r="96" spans="1:50" ht="15.75" customHeight="1">
      <c r="A96" s="55"/>
      <c r="B96" s="57"/>
      <c r="C96" s="59"/>
      <c r="D96" s="59"/>
      <c r="E96" s="61"/>
      <c r="F96" s="61"/>
      <c r="G96" s="61"/>
      <c r="H96" s="61"/>
      <c r="I96" s="61"/>
      <c r="J96" s="28" t="s">
        <v>4</v>
      </c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33">
        <v>1</v>
      </c>
      <c r="AD96" s="19"/>
      <c r="AE96" s="19"/>
      <c r="AF96" s="33">
        <v>1</v>
      </c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51"/>
    </row>
    <row r="97" spans="1:50" ht="15" customHeight="1">
      <c r="A97" s="54" t="s">
        <v>66</v>
      </c>
      <c r="B97" s="56" t="s">
        <v>26</v>
      </c>
      <c r="C97" s="58">
        <v>46098</v>
      </c>
      <c r="D97" s="58">
        <v>46101</v>
      </c>
      <c r="E97" s="60">
        <v>1.5</v>
      </c>
      <c r="F97" s="60">
        <f t="shared" ref="F97" si="69">SUM(K97:AX97)</f>
        <v>1.5</v>
      </c>
      <c r="G97" s="60">
        <f t="shared" si="45"/>
        <v>1</v>
      </c>
      <c r="H97" s="60" t="s">
        <v>19</v>
      </c>
      <c r="I97" s="60">
        <f t="shared" ref="I97" si="70">IF(OR($E97="",$G97=""),"", $G97-$E97)</f>
        <v>-0.5</v>
      </c>
      <c r="J97" s="42" t="s">
        <v>3</v>
      </c>
      <c r="AE97" s="14">
        <v>1.5</v>
      </c>
      <c r="AX97" s="49"/>
    </row>
    <row r="98" spans="1:50" ht="15.75" customHeight="1">
      <c r="A98" s="55"/>
      <c r="B98" s="57"/>
      <c r="C98" s="59"/>
      <c r="D98" s="59"/>
      <c r="E98" s="61"/>
      <c r="F98" s="61"/>
      <c r="G98" s="61"/>
      <c r="H98" s="61"/>
      <c r="I98" s="61"/>
      <c r="J98" s="28" t="s">
        <v>4</v>
      </c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33">
        <v>1</v>
      </c>
      <c r="AO98" s="19"/>
      <c r="AP98" s="19"/>
      <c r="AQ98" s="19"/>
      <c r="AR98" s="19"/>
      <c r="AS98" s="19"/>
      <c r="AT98" s="19"/>
      <c r="AU98" s="19"/>
      <c r="AV98" s="19"/>
      <c r="AW98" s="19"/>
      <c r="AX98" s="51"/>
    </row>
    <row r="99" spans="1:50" ht="15" customHeight="1">
      <c r="A99" s="54" t="s">
        <v>69</v>
      </c>
      <c r="B99" s="56" t="s">
        <v>26</v>
      </c>
      <c r="C99" s="58">
        <v>46098</v>
      </c>
      <c r="D99" s="58">
        <v>46098</v>
      </c>
      <c r="E99" s="60">
        <v>2</v>
      </c>
      <c r="F99" s="60">
        <f t="shared" ref="F99" si="71">SUM(K99:AX99)</f>
        <v>2</v>
      </c>
      <c r="G99" s="60">
        <f t="shared" si="45"/>
        <v>2</v>
      </c>
      <c r="H99" s="60" t="s">
        <v>19</v>
      </c>
      <c r="I99" s="60">
        <f t="shared" ref="I99" si="72">IF(OR($E99="",$G99=""),"", $G99-$E99)</f>
        <v>0</v>
      </c>
      <c r="J99" s="42" t="s">
        <v>3</v>
      </c>
      <c r="AH99" s="14">
        <v>2</v>
      </c>
      <c r="AX99" s="49"/>
    </row>
    <row r="100" spans="1:50" ht="15.75" customHeight="1">
      <c r="A100" s="55"/>
      <c r="B100" s="57"/>
      <c r="C100" s="59"/>
      <c r="D100" s="59"/>
      <c r="E100" s="61"/>
      <c r="F100" s="61"/>
      <c r="G100" s="61"/>
      <c r="H100" s="61"/>
      <c r="I100" s="61"/>
      <c r="J100" s="28" t="s">
        <v>4</v>
      </c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33">
        <v>2</v>
      </c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51"/>
    </row>
    <row r="101" spans="1:50" ht="15" customHeight="1">
      <c r="A101" s="54" t="s">
        <v>75</v>
      </c>
      <c r="B101" s="56" t="s">
        <v>26</v>
      </c>
      <c r="C101" s="58">
        <v>46101</v>
      </c>
      <c r="D101" s="58">
        <v>46104</v>
      </c>
      <c r="E101" s="60">
        <v>1</v>
      </c>
      <c r="F101" s="60">
        <v>1</v>
      </c>
      <c r="G101" s="60">
        <f t="shared" si="45"/>
        <v>1</v>
      </c>
      <c r="H101" s="60" t="s">
        <v>19</v>
      </c>
      <c r="I101" s="60">
        <f t="shared" ref="I101" si="73">IF(OR($E101="",$G101=""),"", $G101-$E101)</f>
        <v>0</v>
      </c>
      <c r="J101" s="42" t="s">
        <v>3</v>
      </c>
      <c r="AP101" s="14">
        <v>1</v>
      </c>
      <c r="AX101" s="49"/>
    </row>
    <row r="102" spans="1:50" ht="15.6" customHeight="1">
      <c r="A102" s="55"/>
      <c r="B102" s="57"/>
      <c r="C102" s="59"/>
      <c r="D102" s="59"/>
      <c r="E102" s="61"/>
      <c r="F102" s="61"/>
      <c r="G102" s="61"/>
      <c r="H102" s="61"/>
      <c r="I102" s="61"/>
      <c r="J102" s="28" t="s">
        <v>4</v>
      </c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33">
        <v>1</v>
      </c>
      <c r="AS102" s="19"/>
      <c r="AT102" s="19"/>
      <c r="AU102" s="19"/>
      <c r="AV102" s="19"/>
      <c r="AW102" s="19"/>
      <c r="AX102" s="51"/>
    </row>
    <row r="103" spans="1:50" ht="15" customHeight="1">
      <c r="A103" s="54" t="s">
        <v>76</v>
      </c>
      <c r="B103" s="56" t="s">
        <v>26</v>
      </c>
      <c r="C103" s="58">
        <v>46100</v>
      </c>
      <c r="D103" s="58">
        <v>46101</v>
      </c>
      <c r="E103" s="60">
        <v>1</v>
      </c>
      <c r="F103" s="60">
        <v>1</v>
      </c>
      <c r="G103" s="60">
        <f t="shared" si="45"/>
        <v>0.5</v>
      </c>
      <c r="H103" s="60" t="s">
        <v>19</v>
      </c>
      <c r="I103" s="60">
        <f t="shared" ref="I103" si="74">IF(OR($E103="",$G103=""),"", $G103-$E103)</f>
        <v>-0.5</v>
      </c>
      <c r="J103" s="42" t="s">
        <v>3</v>
      </c>
      <c r="AL103" s="14">
        <v>1</v>
      </c>
      <c r="AX103" s="49"/>
    </row>
    <row r="104" spans="1:50" ht="15.75" customHeight="1">
      <c r="A104" s="55"/>
      <c r="B104" s="57"/>
      <c r="C104" s="59"/>
      <c r="D104" s="59"/>
      <c r="E104" s="61"/>
      <c r="F104" s="61"/>
      <c r="G104" s="61"/>
      <c r="H104" s="61"/>
      <c r="I104" s="61"/>
      <c r="J104" s="28" t="s">
        <v>4</v>
      </c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33">
        <v>0.5</v>
      </c>
      <c r="AQ104" s="19"/>
      <c r="AR104" s="19"/>
      <c r="AS104" s="19"/>
      <c r="AT104" s="19"/>
      <c r="AU104" s="19"/>
      <c r="AV104" s="19"/>
      <c r="AW104" s="19"/>
      <c r="AX104" s="51"/>
    </row>
    <row r="105" spans="1:50" ht="15" customHeight="1">
      <c r="A105" s="54" t="s">
        <v>80</v>
      </c>
      <c r="B105" s="56" t="s">
        <v>26</v>
      </c>
      <c r="C105" s="58">
        <v>46101</v>
      </c>
      <c r="D105" s="58">
        <v>46105</v>
      </c>
      <c r="E105" s="60">
        <v>1</v>
      </c>
      <c r="F105" s="60">
        <v>1</v>
      </c>
      <c r="G105" s="60">
        <f t="shared" si="45"/>
        <v>1</v>
      </c>
      <c r="H105" s="60" t="s">
        <v>19</v>
      </c>
      <c r="I105" s="60">
        <f t="shared" ref="I105" si="75">IF(OR($E105="",$G105=""),"", $G105-$E105)</f>
        <v>0</v>
      </c>
      <c r="J105" s="42" t="s">
        <v>3</v>
      </c>
      <c r="AQ105" s="14">
        <v>1</v>
      </c>
      <c r="AX105" s="49"/>
    </row>
    <row r="106" spans="1:50" ht="15.75" customHeight="1">
      <c r="A106" s="55"/>
      <c r="B106" s="57"/>
      <c r="C106" s="59"/>
      <c r="D106" s="59"/>
      <c r="E106" s="61"/>
      <c r="F106" s="61"/>
      <c r="G106" s="61"/>
      <c r="H106" s="61"/>
      <c r="I106" s="61"/>
      <c r="J106" s="28" t="s">
        <v>4</v>
      </c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33">
        <v>0.5</v>
      </c>
      <c r="AR106" s="19"/>
      <c r="AS106" s="19"/>
      <c r="AT106" s="19"/>
      <c r="AU106" s="33">
        <v>0.5</v>
      </c>
      <c r="AV106" s="19"/>
      <c r="AW106" s="19"/>
      <c r="AX106" s="51"/>
    </row>
    <row r="107" spans="1:50" ht="15" customHeight="1">
      <c r="A107" s="54" t="s">
        <v>81</v>
      </c>
      <c r="B107" s="56" t="s">
        <v>26</v>
      </c>
      <c r="C107" s="58">
        <v>46101</v>
      </c>
      <c r="D107" s="58">
        <v>46105</v>
      </c>
      <c r="E107" s="60">
        <v>2</v>
      </c>
      <c r="F107" s="60">
        <v>2</v>
      </c>
      <c r="G107" s="60">
        <f t="shared" si="45"/>
        <v>2</v>
      </c>
      <c r="H107" s="60" t="s">
        <v>19</v>
      </c>
      <c r="I107" s="60">
        <f t="shared" ref="I107" si="76">IF(OR($E107="",$G107=""),"", $G107-$E107)</f>
        <v>0</v>
      </c>
      <c r="J107" s="42" t="s">
        <v>3</v>
      </c>
      <c r="AO107" s="14">
        <v>2</v>
      </c>
      <c r="AX107" s="49"/>
    </row>
    <row r="108" spans="1:50" ht="15.75" customHeight="1">
      <c r="A108" s="55"/>
      <c r="B108" s="57"/>
      <c r="C108" s="59"/>
      <c r="D108" s="59"/>
      <c r="E108" s="61"/>
      <c r="F108" s="61"/>
      <c r="G108" s="61"/>
      <c r="H108" s="61"/>
      <c r="I108" s="61"/>
      <c r="J108" s="28" t="s">
        <v>4</v>
      </c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33">
        <v>2</v>
      </c>
      <c r="AV108" s="19"/>
      <c r="AW108" s="19"/>
      <c r="AX108" s="51"/>
    </row>
    <row r="109" spans="1:50" ht="15" customHeight="1">
      <c r="A109" s="54" t="s">
        <v>82</v>
      </c>
      <c r="B109" s="56" t="s">
        <v>26</v>
      </c>
      <c r="C109" s="58">
        <v>46104</v>
      </c>
      <c r="D109" s="58">
        <v>46104</v>
      </c>
      <c r="E109" s="60">
        <v>1.5</v>
      </c>
      <c r="F109" s="60">
        <v>1.5</v>
      </c>
      <c r="G109" s="60">
        <f t="shared" si="45"/>
        <v>1.5</v>
      </c>
      <c r="H109" s="60" t="s">
        <v>19</v>
      </c>
      <c r="I109" s="60">
        <f t="shared" ref="I109" si="77">IF(OR($E109="",$G109=""),"", $G109-$E109)</f>
        <v>0</v>
      </c>
      <c r="J109" s="42" t="s">
        <v>3</v>
      </c>
      <c r="AQ109" s="14">
        <v>1.5</v>
      </c>
      <c r="AX109" s="49"/>
    </row>
    <row r="110" spans="1:50" ht="15.75" customHeight="1">
      <c r="A110" s="66"/>
      <c r="B110" s="57"/>
      <c r="C110" s="59"/>
      <c r="D110" s="59"/>
      <c r="E110" s="61"/>
      <c r="F110" s="61"/>
      <c r="G110" s="61"/>
      <c r="H110" s="61"/>
      <c r="I110" s="61"/>
      <c r="J110" s="28" t="s">
        <v>4</v>
      </c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33">
        <v>1.5</v>
      </c>
      <c r="AR110" s="19"/>
      <c r="AS110" s="19"/>
      <c r="AT110" s="19"/>
      <c r="AU110" s="19"/>
      <c r="AV110" s="19"/>
      <c r="AW110" s="19"/>
      <c r="AX110" s="51"/>
    </row>
    <row r="111" spans="1:50" ht="15" customHeight="1">
      <c r="A111" s="54" t="s">
        <v>83</v>
      </c>
      <c r="B111" s="56" t="s">
        <v>26</v>
      </c>
      <c r="C111" s="58">
        <v>46104</v>
      </c>
      <c r="D111" s="58">
        <v>46104</v>
      </c>
      <c r="E111" s="60">
        <v>1</v>
      </c>
      <c r="F111" s="60">
        <v>1</v>
      </c>
      <c r="G111" s="60">
        <f t="shared" si="45"/>
        <v>1</v>
      </c>
      <c r="H111" s="60" t="s">
        <v>19</v>
      </c>
      <c r="I111" s="60">
        <f t="shared" ref="I111" si="78">IF(OR($E111="",$G111=""),"", $G111-$E111)</f>
        <v>0</v>
      </c>
      <c r="J111" s="42" t="s">
        <v>3</v>
      </c>
      <c r="AQ111" s="14">
        <v>1</v>
      </c>
      <c r="AX111" s="49"/>
    </row>
    <row r="112" spans="1:50" ht="15.75" customHeight="1">
      <c r="A112" s="66"/>
      <c r="B112" s="57"/>
      <c r="C112" s="59"/>
      <c r="D112" s="59"/>
      <c r="E112" s="61"/>
      <c r="F112" s="61"/>
      <c r="G112" s="61"/>
      <c r="H112" s="61"/>
      <c r="I112" s="61"/>
      <c r="J112" s="28" t="s">
        <v>4</v>
      </c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33">
        <v>1</v>
      </c>
      <c r="AR112" s="19"/>
      <c r="AS112" s="19"/>
      <c r="AT112" s="19"/>
      <c r="AU112" s="19"/>
      <c r="AV112" s="19"/>
      <c r="AW112" s="19"/>
      <c r="AX112" s="51"/>
    </row>
    <row r="113" spans="1:50" ht="15" customHeight="1">
      <c r="A113" s="54" t="s">
        <v>85</v>
      </c>
      <c r="B113" s="56" t="s">
        <v>26</v>
      </c>
      <c r="C113" s="58">
        <v>46101</v>
      </c>
      <c r="D113" s="58">
        <v>46101</v>
      </c>
      <c r="E113" s="60">
        <v>1</v>
      </c>
      <c r="F113" s="60">
        <v>1</v>
      </c>
      <c r="G113" s="60">
        <f t="shared" si="45"/>
        <v>1</v>
      </c>
      <c r="H113" s="60" t="s">
        <v>19</v>
      </c>
      <c r="I113" s="60">
        <f t="shared" ref="I113" si="79">IF(OR($E113="",$G113=""),"", $G113-$E113)</f>
        <v>0</v>
      </c>
      <c r="J113" s="42" t="s">
        <v>3</v>
      </c>
      <c r="AS113" s="14">
        <v>1</v>
      </c>
      <c r="AX113" s="49"/>
    </row>
    <row r="114" spans="1:50" ht="15.75" customHeight="1">
      <c r="A114" s="66"/>
      <c r="B114" s="57"/>
      <c r="C114" s="59"/>
      <c r="D114" s="59"/>
      <c r="E114" s="61"/>
      <c r="F114" s="61"/>
      <c r="G114" s="61"/>
      <c r="H114" s="61"/>
      <c r="I114" s="61"/>
      <c r="J114" s="28" t="s">
        <v>4</v>
      </c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33">
        <v>1</v>
      </c>
      <c r="AT114" s="19"/>
      <c r="AU114" s="19"/>
      <c r="AV114" s="19"/>
      <c r="AW114" s="19"/>
      <c r="AX114" s="51"/>
    </row>
    <row r="115" spans="1:50" ht="15" customHeight="1">
      <c r="A115" s="54" t="s">
        <v>87</v>
      </c>
      <c r="B115" s="56" t="s">
        <v>26</v>
      </c>
      <c r="C115" s="58">
        <v>46101</v>
      </c>
      <c r="D115" s="58">
        <v>46101</v>
      </c>
      <c r="E115" s="60">
        <v>1</v>
      </c>
      <c r="F115" s="60">
        <v>1</v>
      </c>
      <c r="G115" s="60">
        <f t="shared" si="45"/>
        <v>1</v>
      </c>
      <c r="H115" s="60" t="s">
        <v>19</v>
      </c>
      <c r="I115" s="60">
        <f t="shared" ref="I115" si="80">IF(OR($E115="",$G115=""),"", $G115-$E115)</f>
        <v>0</v>
      </c>
      <c r="J115" s="42" t="s">
        <v>3</v>
      </c>
      <c r="AS115" s="14">
        <v>1</v>
      </c>
      <c r="AX115" s="49"/>
    </row>
    <row r="116" spans="1:50" ht="15.75" customHeight="1">
      <c r="A116" s="66"/>
      <c r="B116" s="57"/>
      <c r="C116" s="59"/>
      <c r="D116" s="59"/>
      <c r="E116" s="61"/>
      <c r="F116" s="61"/>
      <c r="G116" s="61"/>
      <c r="H116" s="61"/>
      <c r="I116" s="61"/>
      <c r="J116" s="28" t="s">
        <v>4</v>
      </c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33">
        <v>1</v>
      </c>
      <c r="AT116" s="19"/>
      <c r="AU116" s="19"/>
      <c r="AV116" s="19"/>
      <c r="AW116" s="19"/>
      <c r="AX116" s="51"/>
    </row>
    <row r="117" spans="1:50" ht="15" customHeight="1">
      <c r="A117" s="54" t="s">
        <v>89</v>
      </c>
      <c r="B117" s="56" t="s">
        <v>26</v>
      </c>
      <c r="C117" s="58">
        <v>46101</v>
      </c>
      <c r="D117" s="58">
        <v>46101</v>
      </c>
      <c r="E117" s="60">
        <v>1</v>
      </c>
      <c r="F117" s="60">
        <v>1</v>
      </c>
      <c r="G117" s="60">
        <f t="shared" si="45"/>
        <v>1</v>
      </c>
      <c r="H117" s="60" t="s">
        <v>19</v>
      </c>
      <c r="I117" s="60">
        <f t="shared" ref="I117" si="81">IF(OR($E117="",$G117=""),"", $G117-$E117)</f>
        <v>0</v>
      </c>
      <c r="J117" s="42" t="s">
        <v>3</v>
      </c>
      <c r="AS117" s="14">
        <v>1</v>
      </c>
      <c r="AX117" s="49"/>
    </row>
    <row r="118" spans="1:50" ht="15.75" customHeight="1">
      <c r="A118" s="66"/>
      <c r="B118" s="57"/>
      <c r="C118" s="59"/>
      <c r="D118" s="59"/>
      <c r="E118" s="61"/>
      <c r="F118" s="61"/>
      <c r="G118" s="61"/>
      <c r="H118" s="61"/>
      <c r="I118" s="61"/>
      <c r="J118" s="28" t="s">
        <v>4</v>
      </c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33">
        <v>1</v>
      </c>
      <c r="AT118" s="19"/>
      <c r="AU118" s="19"/>
      <c r="AV118" s="19"/>
      <c r="AW118" s="19"/>
      <c r="AX118" s="51"/>
    </row>
    <row r="119" spans="1:50" ht="20.100000000000001" customHeight="1">
      <c r="A119" s="47" t="s">
        <v>22</v>
      </c>
      <c r="B119" s="48"/>
      <c r="C119" s="9"/>
      <c r="D119" s="9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45"/>
    </row>
    <row r="120" spans="1:50" ht="15" customHeight="1">
      <c r="A120" s="54" t="s">
        <v>40</v>
      </c>
      <c r="B120" s="56" t="s">
        <v>26</v>
      </c>
      <c r="C120" s="58">
        <v>46100</v>
      </c>
      <c r="D120" s="58">
        <v>46100</v>
      </c>
      <c r="E120" s="60">
        <v>0.25</v>
      </c>
      <c r="F120" s="60">
        <f t="shared" ref="F120" si="82">SUM(K120:AX120)</f>
        <v>0.25</v>
      </c>
      <c r="G120" s="60">
        <f t="shared" ref="G120:G128" si="83">IF(SUM(K121:AX121)=0,"",SUM(K121:AX121))</f>
        <v>0.5</v>
      </c>
      <c r="H120" s="60" t="s">
        <v>19</v>
      </c>
      <c r="I120" s="60">
        <f t="shared" ref="I120" si="84">IF(OR($E120="",$G120=""),"", $G120-$E120)</f>
        <v>0.25</v>
      </c>
      <c r="J120" s="27" t="s">
        <v>3</v>
      </c>
      <c r="AI120" s="14">
        <v>0.25</v>
      </c>
      <c r="AX120" s="49"/>
    </row>
    <row r="121" spans="1:50" ht="15" customHeight="1">
      <c r="A121" s="66"/>
      <c r="B121" s="57"/>
      <c r="C121" s="59"/>
      <c r="D121" s="59"/>
      <c r="E121" s="61"/>
      <c r="F121" s="61"/>
      <c r="G121" s="61"/>
      <c r="H121" s="61"/>
      <c r="I121" s="61"/>
      <c r="J121" s="28" t="s">
        <v>4</v>
      </c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33">
        <v>0.5</v>
      </c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51"/>
    </row>
    <row r="122" spans="1:50" ht="15" customHeight="1">
      <c r="A122" s="54" t="s">
        <v>41</v>
      </c>
      <c r="B122" s="56" t="s">
        <v>26</v>
      </c>
      <c r="C122" s="58">
        <v>46100</v>
      </c>
      <c r="D122" s="58">
        <v>46100</v>
      </c>
      <c r="E122" s="60">
        <v>0.25</v>
      </c>
      <c r="F122" s="60">
        <f t="shared" ref="F122" si="85">SUM(K122:AX122)</f>
        <v>0.25</v>
      </c>
      <c r="G122" s="60">
        <f t="shared" si="83"/>
        <v>0.5</v>
      </c>
      <c r="H122" s="60" t="s">
        <v>19</v>
      </c>
      <c r="I122" s="60">
        <f t="shared" ref="I122" si="86">IF(OR($E122="",$G122=""),"", $G122-$E122)</f>
        <v>0.25</v>
      </c>
      <c r="J122" s="42" t="s">
        <v>3</v>
      </c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  <c r="AC122" s="52"/>
      <c r="AD122" s="52"/>
      <c r="AE122" s="52"/>
      <c r="AF122" s="52"/>
      <c r="AG122" s="52"/>
      <c r="AH122" s="52"/>
      <c r="AI122" s="14">
        <v>0.25</v>
      </c>
      <c r="AJ122" s="52"/>
      <c r="AK122" s="52"/>
      <c r="AL122" s="52"/>
      <c r="AM122" s="52"/>
      <c r="AN122" s="52"/>
      <c r="AO122" s="52"/>
      <c r="AP122" s="52"/>
      <c r="AQ122" s="52"/>
      <c r="AR122" s="52"/>
      <c r="AS122" s="52"/>
      <c r="AT122" s="52"/>
      <c r="AU122" s="52"/>
      <c r="AV122" s="52"/>
      <c r="AW122" s="52"/>
      <c r="AX122" s="49"/>
    </row>
    <row r="123" spans="1:50" ht="15" customHeight="1">
      <c r="A123" s="66"/>
      <c r="B123" s="57"/>
      <c r="C123" s="59"/>
      <c r="D123" s="59"/>
      <c r="E123" s="61"/>
      <c r="F123" s="61"/>
      <c r="G123" s="61"/>
      <c r="H123" s="61"/>
      <c r="I123" s="61"/>
      <c r="J123" s="28" t="s">
        <v>4</v>
      </c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33">
        <v>0.5</v>
      </c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51"/>
    </row>
    <row r="124" spans="1:50" ht="15" customHeight="1">
      <c r="A124" s="54" t="s">
        <v>71</v>
      </c>
      <c r="B124" s="56" t="s">
        <v>26</v>
      </c>
      <c r="C124" s="58">
        <v>46100</v>
      </c>
      <c r="D124" s="58">
        <v>46100</v>
      </c>
      <c r="E124" s="60">
        <v>0.5</v>
      </c>
      <c r="F124" s="60">
        <f t="shared" ref="F124" si="87">SUM(K124:AX124)</f>
        <v>0.5</v>
      </c>
      <c r="G124" s="60">
        <f t="shared" si="83"/>
        <v>0.5</v>
      </c>
      <c r="H124" s="60" t="s">
        <v>19</v>
      </c>
      <c r="I124" s="60">
        <f t="shared" ref="I124" si="88">IF(OR($E124="",$G124=""),"", $G124-$E124)</f>
        <v>0</v>
      </c>
      <c r="J124" s="42" t="s">
        <v>3</v>
      </c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2"/>
      <c r="AB124" s="52"/>
      <c r="AC124" s="52"/>
      <c r="AD124" s="52"/>
      <c r="AE124" s="52"/>
      <c r="AF124" s="52"/>
      <c r="AG124" s="52"/>
      <c r="AH124" s="52"/>
      <c r="AJ124" s="14">
        <v>0.5</v>
      </c>
      <c r="AK124" s="52"/>
      <c r="AL124" s="52"/>
      <c r="AM124" s="52"/>
      <c r="AN124" s="52"/>
      <c r="AP124" s="52"/>
      <c r="AR124" s="52"/>
      <c r="AS124" s="52"/>
      <c r="AT124" s="52"/>
      <c r="AU124" s="52"/>
      <c r="AV124" s="52"/>
      <c r="AW124" s="52"/>
      <c r="AX124" s="49"/>
    </row>
    <row r="125" spans="1:50" ht="15" customHeight="1">
      <c r="A125" s="66"/>
      <c r="B125" s="57"/>
      <c r="C125" s="59"/>
      <c r="D125" s="59"/>
      <c r="E125" s="61"/>
      <c r="F125" s="61"/>
      <c r="G125" s="61"/>
      <c r="H125" s="61"/>
      <c r="I125" s="61"/>
      <c r="J125" s="28" t="s">
        <v>4</v>
      </c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33">
        <v>0.5</v>
      </c>
      <c r="AQ125" s="19"/>
      <c r="AR125" s="19"/>
      <c r="AS125" s="19"/>
      <c r="AT125" s="19"/>
      <c r="AU125" s="19"/>
      <c r="AV125" s="19"/>
      <c r="AW125" s="19"/>
      <c r="AX125" s="51"/>
    </row>
    <row r="126" spans="1:50" ht="15" customHeight="1">
      <c r="A126" s="54" t="s">
        <v>107</v>
      </c>
      <c r="B126" s="56" t="s">
        <v>26</v>
      </c>
      <c r="C126" s="58">
        <v>46104</v>
      </c>
      <c r="D126" s="58">
        <v>46104</v>
      </c>
      <c r="E126" s="60">
        <v>2</v>
      </c>
      <c r="F126" s="60">
        <v>2</v>
      </c>
      <c r="G126" s="60">
        <f t="shared" si="83"/>
        <v>2</v>
      </c>
      <c r="H126" s="60" t="s">
        <v>19</v>
      </c>
      <c r="I126" s="60">
        <f t="shared" ref="I126" si="89">IF(OR($E126="",$G126=""),"", $G126-$E126)</f>
        <v>0</v>
      </c>
      <c r="J126" s="42" t="s">
        <v>3</v>
      </c>
      <c r="AU126" s="14">
        <v>2</v>
      </c>
      <c r="AX126" s="49"/>
    </row>
    <row r="127" spans="1:50" ht="15" customHeight="1">
      <c r="A127" s="66"/>
      <c r="B127" s="57"/>
      <c r="C127" s="59"/>
      <c r="D127" s="59"/>
      <c r="E127" s="61"/>
      <c r="F127" s="61"/>
      <c r="G127" s="61"/>
      <c r="H127" s="61"/>
      <c r="I127" s="61"/>
      <c r="J127" s="28" t="s">
        <v>4</v>
      </c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51"/>
      <c r="AW127" s="33">
        <v>2</v>
      </c>
      <c r="AX127" s="51"/>
    </row>
    <row r="128" spans="1:50" ht="15" customHeight="1">
      <c r="A128" s="54" t="s">
        <v>88</v>
      </c>
      <c r="B128" s="56" t="s">
        <v>26</v>
      </c>
      <c r="C128" s="58">
        <v>46105</v>
      </c>
      <c r="D128" s="58">
        <v>46105</v>
      </c>
      <c r="E128" s="60">
        <v>2</v>
      </c>
      <c r="F128" s="60">
        <v>2</v>
      </c>
      <c r="G128" s="60">
        <f t="shared" si="83"/>
        <v>2</v>
      </c>
      <c r="H128" s="60" t="s">
        <v>19</v>
      </c>
      <c r="I128" s="60">
        <f t="shared" ref="I128" si="90">IF(OR($E128="",$G128=""),"", $G128-$E128)</f>
        <v>0</v>
      </c>
      <c r="J128" s="42" t="s">
        <v>3</v>
      </c>
      <c r="AU128" s="14">
        <v>2</v>
      </c>
      <c r="AX128" s="49"/>
    </row>
    <row r="129" spans="1:50" ht="15" customHeight="1">
      <c r="A129" s="66"/>
      <c r="B129" s="57"/>
      <c r="C129" s="82"/>
      <c r="D129" s="82"/>
      <c r="E129" s="61"/>
      <c r="F129" s="61"/>
      <c r="G129" s="61"/>
      <c r="H129" s="61"/>
      <c r="I129" s="61"/>
      <c r="J129" s="28" t="s">
        <v>4</v>
      </c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33">
        <v>2</v>
      </c>
      <c r="AW129" s="19"/>
      <c r="AX129" s="51"/>
    </row>
    <row r="130" spans="1:50" ht="20.100000000000001" customHeight="1">
      <c r="A130" s="47" t="s">
        <v>24</v>
      </c>
      <c r="B130" s="48"/>
      <c r="C130" s="9"/>
      <c r="D130" s="9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45"/>
    </row>
    <row r="131" spans="1:50" ht="15" customHeight="1">
      <c r="A131" s="54" t="s">
        <v>36</v>
      </c>
      <c r="B131" s="56" t="s">
        <v>26</v>
      </c>
      <c r="C131" s="58">
        <v>46090</v>
      </c>
      <c r="D131" s="56">
        <v>46105</v>
      </c>
      <c r="E131" s="60">
        <v>2.5</v>
      </c>
      <c r="F131" s="60">
        <f t="shared" ref="F131" si="91">SUM(K131:AX131)</f>
        <v>2.5</v>
      </c>
      <c r="G131" s="60">
        <f t="shared" ref="G131" si="92">IF(SUM(K132:AX132)=0,"",SUM(K132:AX132))</f>
        <v>2.75</v>
      </c>
      <c r="H131" s="60" t="s">
        <v>104</v>
      </c>
      <c r="I131" s="60">
        <f>IF(OR($E131="",$G131=""),"", $G131-$E131)</f>
        <v>0.25</v>
      </c>
      <c r="J131" s="27" t="s">
        <v>3</v>
      </c>
      <c r="N131" s="14">
        <v>0.25</v>
      </c>
      <c r="O131" s="52"/>
      <c r="P131" s="52"/>
      <c r="R131" s="14">
        <v>0.25</v>
      </c>
      <c r="S131" s="52"/>
      <c r="T131" s="52"/>
      <c r="U131" s="52"/>
      <c r="V131" s="14">
        <v>0.25</v>
      </c>
      <c r="W131" s="52"/>
      <c r="X131" s="52"/>
      <c r="Y131" s="52"/>
      <c r="Z131" s="14">
        <v>0.25</v>
      </c>
      <c r="AA131" s="52"/>
      <c r="AB131" s="52"/>
      <c r="AC131" s="52"/>
      <c r="AD131" s="14">
        <v>0.25</v>
      </c>
      <c r="AE131" s="52"/>
      <c r="AF131" s="52"/>
      <c r="AG131" s="52"/>
      <c r="AH131" s="14">
        <v>0.25</v>
      </c>
      <c r="AI131" s="52"/>
      <c r="AJ131" s="52"/>
      <c r="AK131" s="52"/>
      <c r="AL131" s="14">
        <v>0.25</v>
      </c>
      <c r="AM131" s="52"/>
      <c r="AN131" s="52"/>
      <c r="AO131" s="52"/>
      <c r="AP131" s="14">
        <v>0.25</v>
      </c>
      <c r="AQ131" s="52"/>
      <c r="AR131" s="52"/>
      <c r="AS131" s="52"/>
      <c r="AT131" s="14">
        <v>0.25</v>
      </c>
      <c r="AU131" s="52"/>
      <c r="AV131" s="46">
        <v>0.25</v>
      </c>
      <c r="AW131" s="52"/>
      <c r="AX131" s="49"/>
    </row>
    <row r="132" spans="1:50" ht="15" customHeight="1">
      <c r="A132" s="66"/>
      <c r="B132" s="57"/>
      <c r="C132" s="59"/>
      <c r="D132" s="61"/>
      <c r="E132" s="61"/>
      <c r="F132" s="61"/>
      <c r="G132" s="61"/>
      <c r="H132" s="61"/>
      <c r="I132" s="61"/>
      <c r="J132" s="28" t="s">
        <v>4</v>
      </c>
      <c r="K132" s="19"/>
      <c r="L132" s="19"/>
      <c r="M132" s="19"/>
      <c r="N132" s="33">
        <v>0.25</v>
      </c>
      <c r="O132" s="19"/>
      <c r="P132" s="19"/>
      <c r="Q132" s="19"/>
      <c r="R132" s="33">
        <v>0.5</v>
      </c>
      <c r="S132" s="19"/>
      <c r="T132" s="19"/>
      <c r="U132" s="19"/>
      <c r="V132" s="33">
        <v>0.25</v>
      </c>
      <c r="W132" s="19"/>
      <c r="X132" s="19"/>
      <c r="Y132" s="19"/>
      <c r="Z132" s="33">
        <v>0.25</v>
      </c>
      <c r="AA132" s="19"/>
      <c r="AB132" s="19"/>
      <c r="AC132" s="19"/>
      <c r="AD132" s="33">
        <v>0.25</v>
      </c>
      <c r="AE132" s="19"/>
      <c r="AF132" s="19"/>
      <c r="AG132" s="33">
        <v>0.25</v>
      </c>
      <c r="AH132" s="50"/>
      <c r="AI132" s="19"/>
      <c r="AJ132" s="19"/>
      <c r="AK132" s="19"/>
      <c r="AL132" s="33">
        <v>0.25</v>
      </c>
      <c r="AM132" s="19"/>
      <c r="AN132" s="19"/>
      <c r="AO132" s="19"/>
      <c r="AP132" s="33">
        <v>0.25</v>
      </c>
      <c r="AQ132" s="19"/>
      <c r="AR132" s="19"/>
      <c r="AS132" s="19"/>
      <c r="AT132" s="33">
        <v>0.25</v>
      </c>
      <c r="AU132" s="19"/>
      <c r="AV132" s="33">
        <v>0.25</v>
      </c>
      <c r="AW132" s="19"/>
      <c r="AX132" s="51"/>
    </row>
    <row r="133" spans="1:50" ht="15" customHeight="1">
      <c r="A133" s="54" t="s">
        <v>42</v>
      </c>
      <c r="B133" s="56" t="s">
        <v>26</v>
      </c>
      <c r="C133" s="58">
        <v>46091</v>
      </c>
      <c r="D133" s="56">
        <v>46098</v>
      </c>
      <c r="E133" s="60">
        <v>2</v>
      </c>
      <c r="F133" s="60">
        <f t="shared" ref="F133" si="93">SUM(K133:AX133)</f>
        <v>2</v>
      </c>
      <c r="G133" s="60">
        <f t="shared" ref="G133" si="94">IF(SUM(K134:AX134)=0,"",SUM(K134:AX134))</f>
        <v>2</v>
      </c>
      <c r="H133" s="60" t="s">
        <v>19</v>
      </c>
      <c r="I133" s="60">
        <f t="shared" ref="I133" si="95">IF(OR($E133="",$G133=""),"", $G133-$E133)</f>
        <v>0</v>
      </c>
      <c r="J133" s="42" t="s">
        <v>3</v>
      </c>
      <c r="K133" s="52"/>
      <c r="L133" s="52"/>
      <c r="M133" s="52"/>
      <c r="N133" s="52"/>
      <c r="O133" s="52"/>
      <c r="P133" s="52"/>
      <c r="Q133" s="52"/>
      <c r="R133" s="14">
        <v>1</v>
      </c>
      <c r="S133" s="52"/>
      <c r="T133" s="52"/>
      <c r="U133" s="52"/>
      <c r="V133" s="52"/>
      <c r="W133" s="52"/>
      <c r="X133" s="52"/>
      <c r="Y133" s="52"/>
      <c r="Z133" s="52"/>
      <c r="AA133" s="52"/>
      <c r="AB133" s="52"/>
      <c r="AC133" s="52"/>
      <c r="AD133" s="52"/>
      <c r="AE133" s="52"/>
      <c r="AF133" s="52"/>
      <c r="AG133" s="14">
        <v>1</v>
      </c>
      <c r="AH133" s="52"/>
      <c r="AI133" s="52"/>
      <c r="AJ133" s="52"/>
      <c r="AK133" s="52"/>
      <c r="AL133" s="52"/>
      <c r="AM133" s="52"/>
      <c r="AN133" s="52"/>
      <c r="AO133" s="52"/>
      <c r="AP133" s="52"/>
      <c r="AQ133" s="52"/>
      <c r="AR133" s="52"/>
      <c r="AS133" s="52"/>
      <c r="AT133" s="52"/>
      <c r="AU133" s="52"/>
      <c r="AV133" s="52"/>
      <c r="AW133" s="52"/>
      <c r="AX133" s="49"/>
    </row>
    <row r="134" spans="1:50" ht="15.75" customHeight="1">
      <c r="A134" s="66"/>
      <c r="B134" s="57"/>
      <c r="C134" s="59"/>
      <c r="D134" s="61"/>
      <c r="E134" s="61"/>
      <c r="F134" s="61"/>
      <c r="G134" s="61"/>
      <c r="H134" s="61"/>
      <c r="I134" s="61"/>
      <c r="J134" s="28" t="s">
        <v>4</v>
      </c>
      <c r="K134" s="19"/>
      <c r="L134" s="19"/>
      <c r="M134" s="19"/>
      <c r="N134" s="19"/>
      <c r="O134" s="19"/>
      <c r="P134" s="19"/>
      <c r="Q134" s="19"/>
      <c r="R134" s="33">
        <v>1</v>
      </c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33">
        <v>1</v>
      </c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51"/>
    </row>
    <row r="135" spans="1:50" ht="15" customHeight="1">
      <c r="A135" s="54" t="s">
        <v>84</v>
      </c>
      <c r="B135" s="56" t="s">
        <v>26</v>
      </c>
      <c r="C135" s="58">
        <v>46104</v>
      </c>
      <c r="D135" s="58">
        <v>46104</v>
      </c>
      <c r="E135" s="60">
        <v>0.5</v>
      </c>
      <c r="F135" s="60">
        <v>0.5</v>
      </c>
      <c r="G135" s="60">
        <f t="shared" ref="G135" si="96">IF(SUM(K136:AX136)=0,"",SUM(K136:AX136))</f>
        <v>0.5</v>
      </c>
      <c r="H135" s="60" t="s">
        <v>19</v>
      </c>
      <c r="I135" s="60">
        <f>IF(OR($E135="",$G135=""),"", $G135-$E135)</f>
        <v>0</v>
      </c>
      <c r="J135" s="42" t="s">
        <v>3</v>
      </c>
      <c r="AR135" s="14">
        <v>0.5</v>
      </c>
      <c r="AX135" s="49"/>
    </row>
    <row r="136" spans="1:50" ht="15" customHeight="1">
      <c r="A136" s="55"/>
      <c r="B136" s="57"/>
      <c r="C136" s="59"/>
      <c r="D136" s="59"/>
      <c r="E136" s="61"/>
      <c r="F136" s="61"/>
      <c r="G136" s="61"/>
      <c r="H136" s="61"/>
      <c r="I136" s="61"/>
      <c r="J136" s="28" t="s">
        <v>4</v>
      </c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33">
        <v>0.5</v>
      </c>
      <c r="AS136" s="19"/>
      <c r="AT136" s="19"/>
      <c r="AU136" s="19"/>
      <c r="AV136" s="19"/>
      <c r="AW136" s="19"/>
      <c r="AX136" s="51"/>
    </row>
    <row r="137" spans="1:50" ht="15" customHeight="1">
      <c r="A137" s="54" t="s">
        <v>86</v>
      </c>
      <c r="B137" s="56" t="s">
        <v>26</v>
      </c>
      <c r="C137" s="58">
        <v>46105</v>
      </c>
      <c r="D137" s="58">
        <v>46105</v>
      </c>
      <c r="E137" s="60">
        <v>1</v>
      </c>
      <c r="F137" s="60">
        <v>1</v>
      </c>
      <c r="G137" s="60">
        <f t="shared" ref="G137" si="97">IF(SUM(K138:AX138)=0,"",SUM(K138:AX138))</f>
        <v>0.75</v>
      </c>
      <c r="H137" s="60" t="s">
        <v>19</v>
      </c>
      <c r="I137" s="60">
        <f>IF(OR($E137="",$G137=""),"", $G137-$E137)</f>
        <v>-0.25</v>
      </c>
      <c r="J137" s="42" t="s">
        <v>3</v>
      </c>
      <c r="AW137" s="14">
        <v>0.5</v>
      </c>
      <c r="AX137" s="49"/>
    </row>
    <row r="138" spans="1:50" ht="15" customHeight="1">
      <c r="A138" s="55"/>
      <c r="B138" s="57"/>
      <c r="C138" s="59"/>
      <c r="D138" s="59"/>
      <c r="E138" s="61"/>
      <c r="F138" s="61"/>
      <c r="G138" s="61"/>
      <c r="H138" s="61"/>
      <c r="I138" s="61"/>
      <c r="J138" s="28" t="s">
        <v>4</v>
      </c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33">
        <v>0.75</v>
      </c>
      <c r="AX138" s="51"/>
    </row>
    <row r="139" spans="1:50" ht="20.100000000000001" customHeight="1">
      <c r="A139" s="47" t="s">
        <v>24</v>
      </c>
      <c r="B139" s="48"/>
      <c r="C139" s="9"/>
      <c r="D139" s="9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45"/>
    </row>
    <row r="140" spans="1:50" ht="15" customHeight="1">
      <c r="A140" s="67" t="s">
        <v>45</v>
      </c>
      <c r="B140" s="56" t="s">
        <v>26</v>
      </c>
      <c r="C140" s="58">
        <v>46090</v>
      </c>
      <c r="D140" s="56">
        <v>46105</v>
      </c>
      <c r="E140" s="60">
        <v>7.5</v>
      </c>
      <c r="F140" s="60">
        <f t="shared" ref="F140" si="98">SUM(K140:AX140)</f>
        <v>7.5</v>
      </c>
      <c r="G140" s="60">
        <f t="shared" ref="G140" si="99">IF(SUM(K141:AX141)=0,"",SUM(K141:AX141))</f>
        <v>7.5</v>
      </c>
      <c r="H140" s="60" t="s">
        <v>104</v>
      </c>
      <c r="I140" s="60">
        <f>IF(OR($E140="",$G140=""),"", $G140-$E140)</f>
        <v>0</v>
      </c>
      <c r="J140" s="42" t="s">
        <v>3</v>
      </c>
      <c r="K140" s="52"/>
      <c r="L140" s="52"/>
      <c r="M140" s="52"/>
      <c r="N140" s="14">
        <v>0.75</v>
      </c>
      <c r="O140" s="52"/>
      <c r="P140" s="52"/>
      <c r="Q140" s="14">
        <v>0.75</v>
      </c>
      <c r="R140" s="52"/>
      <c r="S140" s="14">
        <v>0.75</v>
      </c>
      <c r="T140" s="52"/>
      <c r="U140" s="52"/>
      <c r="V140" s="52"/>
      <c r="W140" s="52"/>
      <c r="X140" s="52"/>
      <c r="Y140" s="14">
        <v>0.75</v>
      </c>
      <c r="Z140" s="52"/>
      <c r="AA140" s="52"/>
      <c r="AB140" s="14">
        <v>0.75</v>
      </c>
      <c r="AC140" s="52"/>
      <c r="AD140" s="52"/>
      <c r="AE140" s="52"/>
      <c r="AF140" s="52"/>
      <c r="AG140" s="52"/>
      <c r="AH140" s="14">
        <v>0.75</v>
      </c>
      <c r="AI140" s="52"/>
      <c r="AJ140" s="52"/>
      <c r="AK140" s="14">
        <v>0.75</v>
      </c>
      <c r="AL140" s="52"/>
      <c r="AM140" s="52"/>
      <c r="AN140" s="14">
        <v>0.75</v>
      </c>
      <c r="AO140" s="52"/>
      <c r="AP140" s="52"/>
      <c r="AQ140" s="52"/>
      <c r="AR140" s="52"/>
      <c r="AS140" s="52"/>
      <c r="AT140" s="14">
        <v>0.75</v>
      </c>
      <c r="AU140" s="52"/>
      <c r="AV140" s="52"/>
      <c r="AW140" s="52"/>
      <c r="AX140" s="14">
        <v>0.75</v>
      </c>
    </row>
    <row r="141" spans="1:50" ht="15" customHeight="1">
      <c r="A141" s="71"/>
      <c r="B141" s="57"/>
      <c r="C141" s="59"/>
      <c r="D141" s="61"/>
      <c r="E141" s="61"/>
      <c r="F141" s="61"/>
      <c r="G141" s="61"/>
      <c r="H141" s="61"/>
      <c r="I141" s="61"/>
      <c r="J141" s="28" t="s">
        <v>4</v>
      </c>
      <c r="K141" s="19"/>
      <c r="L141" s="19"/>
      <c r="M141" s="19"/>
      <c r="N141" s="33">
        <v>0.75</v>
      </c>
      <c r="O141" s="19"/>
      <c r="P141" s="19"/>
      <c r="Q141" s="33">
        <v>0.75</v>
      </c>
      <c r="R141" s="19"/>
      <c r="S141" s="33">
        <v>0.75</v>
      </c>
      <c r="T141" s="19"/>
      <c r="U141" s="19"/>
      <c r="V141" s="19"/>
      <c r="W141" s="19"/>
      <c r="X141" s="19"/>
      <c r="Y141" s="33">
        <v>0.75</v>
      </c>
      <c r="Z141" s="19"/>
      <c r="AA141" s="19"/>
      <c r="AB141" s="33">
        <v>0.75</v>
      </c>
      <c r="AC141" s="19"/>
      <c r="AD141" s="19"/>
      <c r="AE141" s="19"/>
      <c r="AF141" s="19"/>
      <c r="AG141" s="19"/>
      <c r="AH141" s="33">
        <v>0.75</v>
      </c>
      <c r="AI141" s="19"/>
      <c r="AJ141" s="19"/>
      <c r="AK141" s="33">
        <v>1</v>
      </c>
      <c r="AL141" s="19"/>
      <c r="AM141" s="19"/>
      <c r="AN141" s="33">
        <v>0.5</v>
      </c>
      <c r="AO141" s="19"/>
      <c r="AP141" s="19"/>
      <c r="AQ141" s="19"/>
      <c r="AR141" s="19"/>
      <c r="AS141" s="19"/>
      <c r="AT141" s="33">
        <v>0.75</v>
      </c>
      <c r="AU141" s="19"/>
      <c r="AV141" s="19"/>
      <c r="AW141" s="19"/>
      <c r="AX141" s="33">
        <v>0.75</v>
      </c>
    </row>
    <row r="142" spans="1:50" ht="19.5" customHeight="1">
      <c r="A142" s="72" t="s">
        <v>46</v>
      </c>
      <c r="B142" s="73"/>
      <c r="C142" s="74"/>
      <c r="D142" s="78"/>
      <c r="E142" s="62">
        <f>SUM(E10:E141)</f>
        <v>82.5</v>
      </c>
      <c r="F142" s="62">
        <f>SUM(F10:F141)</f>
        <v>82.25</v>
      </c>
      <c r="G142" s="62">
        <f>SUM(G10:G141)</f>
        <v>83.75</v>
      </c>
      <c r="H142" s="78"/>
      <c r="I142" s="62">
        <f>SUM(I10:I141)</f>
        <v>1.25</v>
      </c>
      <c r="J142" s="25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  <c r="AH142" s="29"/>
      <c r="AI142" s="29"/>
      <c r="AJ142" s="29"/>
      <c r="AK142" s="29"/>
      <c r="AL142" s="29"/>
      <c r="AM142" s="29"/>
      <c r="AN142" s="29"/>
      <c r="AO142" s="29"/>
      <c r="AP142" s="29"/>
      <c r="AQ142" s="29"/>
      <c r="AR142" s="29"/>
      <c r="AS142" s="29"/>
      <c r="AT142" s="29"/>
      <c r="AU142" s="29"/>
      <c r="AV142" s="29"/>
      <c r="AW142" s="29"/>
      <c r="AX142" s="30"/>
    </row>
    <row r="143" spans="1:50" ht="15" customHeight="1">
      <c r="A143" s="75"/>
      <c r="B143" s="76"/>
      <c r="C143" s="77"/>
      <c r="D143" s="79"/>
      <c r="E143" s="63"/>
      <c r="F143" s="63"/>
      <c r="G143" s="63"/>
      <c r="H143" s="63"/>
      <c r="I143" s="63"/>
      <c r="J143" s="26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2"/>
    </row>
    <row r="150" spans="3:3">
      <c r="C150">
        <v>1</v>
      </c>
    </row>
  </sheetData>
  <autoFilter ref="A7:J143" xr:uid="{F14CF5E7-47C3-4885-96D3-6F5C321DF876}"/>
  <mergeCells count="585">
    <mergeCell ref="J7:J8"/>
    <mergeCell ref="A7:A8"/>
    <mergeCell ref="D85:D86"/>
    <mergeCell ref="E85:E86"/>
    <mergeCell ref="G85:G86"/>
    <mergeCell ref="I85:I86"/>
    <mergeCell ref="I131:I132"/>
    <mergeCell ref="I133:I134"/>
    <mergeCell ref="I35:I36"/>
    <mergeCell ref="G23:G24"/>
    <mergeCell ref="I23:I24"/>
    <mergeCell ref="H25:H26"/>
    <mergeCell ref="I57:I58"/>
    <mergeCell ref="E81:E82"/>
    <mergeCell ref="G81:G82"/>
    <mergeCell ref="I81:I82"/>
    <mergeCell ref="B87:B88"/>
    <mergeCell ref="D87:D88"/>
    <mergeCell ref="E87:E88"/>
    <mergeCell ref="G87:G88"/>
    <mergeCell ref="I87:I88"/>
    <mergeCell ref="I71:I72"/>
    <mergeCell ref="I73:I74"/>
    <mergeCell ref="B81:B82"/>
    <mergeCell ref="I126:I127"/>
    <mergeCell ref="I128:I129"/>
    <mergeCell ref="H128:H129"/>
    <mergeCell ref="I117:I118"/>
    <mergeCell ref="B71:B72"/>
    <mergeCell ref="E71:E72"/>
    <mergeCell ref="G71:G72"/>
    <mergeCell ref="D81:D82"/>
    <mergeCell ref="A12:A13"/>
    <mergeCell ref="A21:A22"/>
    <mergeCell ref="B21:B22"/>
    <mergeCell ref="D21:D22"/>
    <mergeCell ref="E21:E22"/>
    <mergeCell ref="G21:G22"/>
    <mergeCell ref="I21:I22"/>
    <mergeCell ref="A23:A24"/>
    <mergeCell ref="B23:B24"/>
    <mergeCell ref="D23:D24"/>
    <mergeCell ref="E23:E24"/>
    <mergeCell ref="D60:D61"/>
    <mergeCell ref="E60:E61"/>
    <mergeCell ref="G60:G61"/>
    <mergeCell ref="I60:I61"/>
    <mergeCell ref="C81:C82"/>
    <mergeCell ref="C137:C138"/>
    <mergeCell ref="D137:D138"/>
    <mergeCell ref="E137:E138"/>
    <mergeCell ref="G137:G138"/>
    <mergeCell ref="B137:B138"/>
    <mergeCell ref="B89:B90"/>
    <mergeCell ref="D89:D90"/>
    <mergeCell ref="B131:B132"/>
    <mergeCell ref="D131:D132"/>
    <mergeCell ref="E131:E132"/>
    <mergeCell ref="G131:G132"/>
    <mergeCell ref="C89:C90"/>
    <mergeCell ref="C117:C118"/>
    <mergeCell ref="E89:E90"/>
    <mergeCell ref="G89:G90"/>
    <mergeCell ref="B107:B108"/>
    <mergeCell ref="C107:C108"/>
    <mergeCell ref="D107:D108"/>
    <mergeCell ref="E107:E108"/>
    <mergeCell ref="G107:G108"/>
    <mergeCell ref="A124:A125"/>
    <mergeCell ref="B124:B125"/>
    <mergeCell ref="D124:D125"/>
    <mergeCell ref="C87:C88"/>
    <mergeCell ref="I62:I63"/>
    <mergeCell ref="A73:A74"/>
    <mergeCell ref="B73:B74"/>
    <mergeCell ref="E73:E74"/>
    <mergeCell ref="G73:G74"/>
    <mergeCell ref="A68:A69"/>
    <mergeCell ref="B68:B69"/>
    <mergeCell ref="D68:D69"/>
    <mergeCell ref="E68:E69"/>
    <mergeCell ref="G68:G69"/>
    <mergeCell ref="D71:D72"/>
    <mergeCell ref="D73:D74"/>
    <mergeCell ref="E124:E125"/>
    <mergeCell ref="G124:G125"/>
    <mergeCell ref="A122:A123"/>
    <mergeCell ref="B122:B123"/>
    <mergeCell ref="C122:C123"/>
    <mergeCell ref="D122:D123"/>
    <mergeCell ref="E122:E123"/>
    <mergeCell ref="G122:G123"/>
    <mergeCell ref="A133:A134"/>
    <mergeCell ref="B133:B134"/>
    <mergeCell ref="D133:D134"/>
    <mergeCell ref="E133:E134"/>
    <mergeCell ref="G133:G134"/>
    <mergeCell ref="A131:A132"/>
    <mergeCell ref="C131:C132"/>
    <mergeCell ref="C133:C134"/>
    <mergeCell ref="D126:D127"/>
    <mergeCell ref="E126:E127"/>
    <mergeCell ref="G126:G127"/>
    <mergeCell ref="D128:D129"/>
    <mergeCell ref="E128:E129"/>
    <mergeCell ref="G128:G129"/>
    <mergeCell ref="A126:A127"/>
    <mergeCell ref="A128:A129"/>
    <mergeCell ref="F126:F127"/>
    <mergeCell ref="F128:F129"/>
    <mergeCell ref="F131:F132"/>
    <mergeCell ref="F133:F134"/>
    <mergeCell ref="A120:A121"/>
    <mergeCell ref="D120:D121"/>
    <mergeCell ref="E120:E121"/>
    <mergeCell ref="G120:G121"/>
    <mergeCell ref="A89:A90"/>
    <mergeCell ref="A91:A92"/>
    <mergeCell ref="A93:A94"/>
    <mergeCell ref="A95:A96"/>
    <mergeCell ref="A97:A98"/>
    <mergeCell ref="E97:E98"/>
    <mergeCell ref="G97:G98"/>
    <mergeCell ref="A99:A100"/>
    <mergeCell ref="A117:A118"/>
    <mergeCell ref="B99:B100"/>
    <mergeCell ref="C99:C100"/>
    <mergeCell ref="D99:D100"/>
    <mergeCell ref="E99:E100"/>
    <mergeCell ref="A105:A106"/>
    <mergeCell ref="B105:B106"/>
    <mergeCell ref="C105:C106"/>
    <mergeCell ref="D105:D106"/>
    <mergeCell ref="E105:E106"/>
    <mergeCell ref="G105:G106"/>
    <mergeCell ref="A107:A108"/>
    <mergeCell ref="I89:I90"/>
    <mergeCell ref="B75:B76"/>
    <mergeCell ref="D75:D76"/>
    <mergeCell ref="E75:E76"/>
    <mergeCell ref="G75:G76"/>
    <mergeCell ref="I75:I76"/>
    <mergeCell ref="B85:B86"/>
    <mergeCell ref="H97:H98"/>
    <mergeCell ref="H107:H108"/>
    <mergeCell ref="B91:B92"/>
    <mergeCell ref="C91:C92"/>
    <mergeCell ref="B93:B94"/>
    <mergeCell ref="C93:C94"/>
    <mergeCell ref="B95:B96"/>
    <mergeCell ref="C95:C96"/>
    <mergeCell ref="D95:D96"/>
    <mergeCell ref="E95:E96"/>
    <mergeCell ref="G95:G96"/>
    <mergeCell ref="I95:I96"/>
    <mergeCell ref="H93:H94"/>
    <mergeCell ref="H95:H96"/>
    <mergeCell ref="B97:B98"/>
    <mergeCell ref="C97:C98"/>
    <mergeCell ref="D97:D98"/>
    <mergeCell ref="H109:H110"/>
    <mergeCell ref="H111:H112"/>
    <mergeCell ref="H117:H118"/>
    <mergeCell ref="D83:D84"/>
    <mergeCell ref="E83:E84"/>
    <mergeCell ref="G83:G84"/>
    <mergeCell ref="I83:I84"/>
    <mergeCell ref="D77:D78"/>
    <mergeCell ref="E77:E78"/>
    <mergeCell ref="G77:G78"/>
    <mergeCell ref="I77:I78"/>
    <mergeCell ref="D91:D92"/>
    <mergeCell ref="E91:E92"/>
    <mergeCell ref="G91:G92"/>
    <mergeCell ref="I91:I92"/>
    <mergeCell ref="H83:H84"/>
    <mergeCell ref="H85:H86"/>
    <mergeCell ref="H87:H88"/>
    <mergeCell ref="H89:H90"/>
    <mergeCell ref="H91:H92"/>
    <mergeCell ref="D93:D94"/>
    <mergeCell ref="E93:E94"/>
    <mergeCell ref="G93:G94"/>
    <mergeCell ref="I93:I94"/>
    <mergeCell ref="G7:G8"/>
    <mergeCell ref="G12:G13"/>
    <mergeCell ref="E7:E8"/>
    <mergeCell ref="A25:A26"/>
    <mergeCell ref="A60:A61"/>
    <mergeCell ref="A29:A30"/>
    <mergeCell ref="A10:A11"/>
    <mergeCell ref="B10:B11"/>
    <mergeCell ref="C10:C11"/>
    <mergeCell ref="D10:D11"/>
    <mergeCell ref="E10:E11"/>
    <mergeCell ref="G10:G11"/>
    <mergeCell ref="D37:D38"/>
    <mergeCell ref="E37:E38"/>
    <mergeCell ref="G37:G38"/>
    <mergeCell ref="B55:B56"/>
    <mergeCell ref="C55:C56"/>
    <mergeCell ref="A14:A15"/>
    <mergeCell ref="A16:A17"/>
    <mergeCell ref="D35:D36"/>
    <mergeCell ref="E57:E58"/>
    <mergeCell ref="G57:G58"/>
    <mergeCell ref="D16:D17"/>
    <mergeCell ref="E16:E17"/>
    <mergeCell ref="I7:I8"/>
    <mergeCell ref="E12:E13"/>
    <mergeCell ref="I12:I13"/>
    <mergeCell ref="B7:B8"/>
    <mergeCell ref="D7:D8"/>
    <mergeCell ref="B12:B13"/>
    <mergeCell ref="H7:H8"/>
    <mergeCell ref="E35:E36"/>
    <mergeCell ref="G35:G36"/>
    <mergeCell ref="B29:B30"/>
    <mergeCell ref="C29:C30"/>
    <mergeCell ref="I16:I17"/>
    <mergeCell ref="B25:B26"/>
    <mergeCell ref="C25:C26"/>
    <mergeCell ref="E25:E26"/>
    <mergeCell ref="G25:G26"/>
    <mergeCell ref="I25:I26"/>
    <mergeCell ref="E14:E15"/>
    <mergeCell ref="G14:G15"/>
    <mergeCell ref="I14:I15"/>
    <mergeCell ref="B19:B20"/>
    <mergeCell ref="C19:C20"/>
    <mergeCell ref="D19:D20"/>
    <mergeCell ref="E19:E20"/>
    <mergeCell ref="G16:G17"/>
    <mergeCell ref="D29:D30"/>
    <mergeCell ref="E29:E30"/>
    <mergeCell ref="G29:G30"/>
    <mergeCell ref="A19:A20"/>
    <mergeCell ref="A62:A63"/>
    <mergeCell ref="B62:B63"/>
    <mergeCell ref="D62:D63"/>
    <mergeCell ref="E62:E63"/>
    <mergeCell ref="G62:G63"/>
    <mergeCell ref="B37:B38"/>
    <mergeCell ref="A55:A56"/>
    <mergeCell ref="F53:F54"/>
    <mergeCell ref="F55:F56"/>
    <mergeCell ref="F49:F50"/>
    <mergeCell ref="F51:F52"/>
    <mergeCell ref="E55:E56"/>
    <mergeCell ref="G55:G56"/>
    <mergeCell ref="A75:A76"/>
    <mergeCell ref="A85:A86"/>
    <mergeCell ref="C35:C36"/>
    <mergeCell ref="C62:C63"/>
    <mergeCell ref="C68:C69"/>
    <mergeCell ref="C71:C72"/>
    <mergeCell ref="C73:C74"/>
    <mergeCell ref="C75:C76"/>
    <mergeCell ref="A87:A88"/>
    <mergeCell ref="A57:A58"/>
    <mergeCell ref="B57:B58"/>
    <mergeCell ref="C57:C58"/>
    <mergeCell ref="C37:C38"/>
    <mergeCell ref="A35:A36"/>
    <mergeCell ref="B35:B36"/>
    <mergeCell ref="A83:A84"/>
    <mergeCell ref="B83:B84"/>
    <mergeCell ref="C83:C84"/>
    <mergeCell ref="A77:A78"/>
    <mergeCell ref="B77:B78"/>
    <mergeCell ref="C77:C78"/>
    <mergeCell ref="A37:A38"/>
    <mergeCell ref="C85:C86"/>
    <mergeCell ref="A66:A67"/>
    <mergeCell ref="B2:B4"/>
    <mergeCell ref="B117:B118"/>
    <mergeCell ref="B120:B121"/>
    <mergeCell ref="B126:B127"/>
    <mergeCell ref="B128:B129"/>
    <mergeCell ref="B60:B61"/>
    <mergeCell ref="I120:I121"/>
    <mergeCell ref="I124:I125"/>
    <mergeCell ref="C120:C121"/>
    <mergeCell ref="C124:C125"/>
    <mergeCell ref="C126:C127"/>
    <mergeCell ref="C128:C129"/>
    <mergeCell ref="C7:C8"/>
    <mergeCell ref="C60:C61"/>
    <mergeCell ref="C12:C13"/>
    <mergeCell ref="C14:C15"/>
    <mergeCell ref="C16:C17"/>
    <mergeCell ref="D12:D13"/>
    <mergeCell ref="B14:B15"/>
    <mergeCell ref="D14:D15"/>
    <mergeCell ref="B16:B17"/>
    <mergeCell ref="C21:C22"/>
    <mergeCell ref="C23:C24"/>
    <mergeCell ref="D57:D58"/>
    <mergeCell ref="A135:A136"/>
    <mergeCell ref="E140:E141"/>
    <mergeCell ref="G140:G141"/>
    <mergeCell ref="I140:I141"/>
    <mergeCell ref="A142:C143"/>
    <mergeCell ref="E142:E143"/>
    <mergeCell ref="G142:G143"/>
    <mergeCell ref="I142:I143"/>
    <mergeCell ref="C140:C141"/>
    <mergeCell ref="D142:D143"/>
    <mergeCell ref="A140:A141"/>
    <mergeCell ref="B140:B141"/>
    <mergeCell ref="D140:D141"/>
    <mergeCell ref="I137:I138"/>
    <mergeCell ref="H140:H141"/>
    <mergeCell ref="H142:H143"/>
    <mergeCell ref="B135:B136"/>
    <mergeCell ref="D135:D136"/>
    <mergeCell ref="E135:E136"/>
    <mergeCell ref="G135:G136"/>
    <mergeCell ref="I135:I136"/>
    <mergeCell ref="C135:C136"/>
    <mergeCell ref="A137:A138"/>
    <mergeCell ref="F137:F138"/>
    <mergeCell ref="I29:I30"/>
    <mergeCell ref="A31:A32"/>
    <mergeCell ref="B31:B32"/>
    <mergeCell ref="C31:C32"/>
    <mergeCell ref="D31:D32"/>
    <mergeCell ref="E31:E32"/>
    <mergeCell ref="G31:G32"/>
    <mergeCell ref="I31:I32"/>
    <mergeCell ref="G19:G20"/>
    <mergeCell ref="I19:I20"/>
    <mergeCell ref="A27:A28"/>
    <mergeCell ref="B27:B28"/>
    <mergeCell ref="C27:C28"/>
    <mergeCell ref="D27:D28"/>
    <mergeCell ref="E27:E28"/>
    <mergeCell ref="G27:G28"/>
    <mergeCell ref="I27:I28"/>
    <mergeCell ref="I10:I11"/>
    <mergeCell ref="A33:A34"/>
    <mergeCell ref="B33:B34"/>
    <mergeCell ref="C33:C34"/>
    <mergeCell ref="D33:D34"/>
    <mergeCell ref="E33:E34"/>
    <mergeCell ref="G33:G34"/>
    <mergeCell ref="I33:I34"/>
    <mergeCell ref="H10:H11"/>
    <mergeCell ref="H12:H13"/>
    <mergeCell ref="H14:H15"/>
    <mergeCell ref="H16:H17"/>
    <mergeCell ref="H21:H22"/>
    <mergeCell ref="H23:H24"/>
    <mergeCell ref="H27:H28"/>
    <mergeCell ref="H29:H30"/>
    <mergeCell ref="H31:H32"/>
    <mergeCell ref="H33:H34"/>
    <mergeCell ref="F27:F28"/>
    <mergeCell ref="F29:F30"/>
    <mergeCell ref="F31:F32"/>
    <mergeCell ref="F33:F34"/>
    <mergeCell ref="H19:H20"/>
    <mergeCell ref="D25:D26"/>
    <mergeCell ref="I37:I38"/>
    <mergeCell ref="A79:A80"/>
    <mergeCell ref="B79:B80"/>
    <mergeCell ref="C79:C80"/>
    <mergeCell ref="D79:D80"/>
    <mergeCell ref="E79:E80"/>
    <mergeCell ref="G79:G80"/>
    <mergeCell ref="I79:I80"/>
    <mergeCell ref="A39:A40"/>
    <mergeCell ref="B39:B40"/>
    <mergeCell ref="C39:C40"/>
    <mergeCell ref="D39:D40"/>
    <mergeCell ref="E39:E40"/>
    <mergeCell ref="G39:G40"/>
    <mergeCell ref="I39:I40"/>
    <mergeCell ref="G51:G52"/>
    <mergeCell ref="I51:I52"/>
    <mergeCell ref="A53:A54"/>
    <mergeCell ref="B53:B54"/>
    <mergeCell ref="C53:C54"/>
    <mergeCell ref="D53:D54"/>
    <mergeCell ref="E53:E54"/>
    <mergeCell ref="G53:G54"/>
    <mergeCell ref="I53:I54"/>
    <mergeCell ref="B66:B67"/>
    <mergeCell ref="C66:C67"/>
    <mergeCell ref="D66:D67"/>
    <mergeCell ref="E66:E67"/>
    <mergeCell ref="G66:G67"/>
    <mergeCell ref="I66:I67"/>
    <mergeCell ref="H79:H80"/>
    <mergeCell ref="H81:H82"/>
    <mergeCell ref="I68:I69"/>
    <mergeCell ref="A81:A82"/>
    <mergeCell ref="F79:F80"/>
    <mergeCell ref="F77:F78"/>
    <mergeCell ref="F81:F82"/>
    <mergeCell ref="A71:A72"/>
    <mergeCell ref="I97:I98"/>
    <mergeCell ref="A41:A42"/>
    <mergeCell ref="B41:B42"/>
    <mergeCell ref="C41:C42"/>
    <mergeCell ref="D41:D42"/>
    <mergeCell ref="E41:E42"/>
    <mergeCell ref="G41:G42"/>
    <mergeCell ref="I41:I42"/>
    <mergeCell ref="C49:C50"/>
    <mergeCell ref="D49:D50"/>
    <mergeCell ref="E49:E50"/>
    <mergeCell ref="G49:G50"/>
    <mergeCell ref="I49:I50"/>
    <mergeCell ref="A51:A52"/>
    <mergeCell ref="B51:B52"/>
    <mergeCell ref="C51:C52"/>
    <mergeCell ref="D51:D52"/>
    <mergeCell ref="E51:E52"/>
    <mergeCell ref="D55:D56"/>
    <mergeCell ref="I55:I56"/>
    <mergeCell ref="H53:H54"/>
    <mergeCell ref="H55:H56"/>
    <mergeCell ref="I122:I123"/>
    <mergeCell ref="A43:A44"/>
    <mergeCell ref="B43:B44"/>
    <mergeCell ref="C43:C44"/>
    <mergeCell ref="D43:D44"/>
    <mergeCell ref="E43:E44"/>
    <mergeCell ref="G43:G44"/>
    <mergeCell ref="I43:I44"/>
    <mergeCell ref="A45:A46"/>
    <mergeCell ref="B45:B46"/>
    <mergeCell ref="C45:C46"/>
    <mergeCell ref="D45:D46"/>
    <mergeCell ref="E45:E46"/>
    <mergeCell ref="G45:G46"/>
    <mergeCell ref="I45:I46"/>
    <mergeCell ref="A47:A48"/>
    <mergeCell ref="B47:B48"/>
    <mergeCell ref="C47:C48"/>
    <mergeCell ref="D47:D48"/>
    <mergeCell ref="E47:E48"/>
    <mergeCell ref="G47:G48"/>
    <mergeCell ref="I47:I48"/>
    <mergeCell ref="A49:A50"/>
    <mergeCell ref="B49:B50"/>
    <mergeCell ref="G99:G100"/>
    <mergeCell ref="I99:I100"/>
    <mergeCell ref="A101:A102"/>
    <mergeCell ref="B101:B102"/>
    <mergeCell ref="C101:C102"/>
    <mergeCell ref="D101:D102"/>
    <mergeCell ref="E101:E102"/>
    <mergeCell ref="G101:G102"/>
    <mergeCell ref="I101:I102"/>
    <mergeCell ref="H99:H100"/>
    <mergeCell ref="H101:H102"/>
    <mergeCell ref="F99:F100"/>
    <mergeCell ref="F101:F102"/>
    <mergeCell ref="F57:F58"/>
    <mergeCell ref="F60:F61"/>
    <mergeCell ref="F62:F63"/>
    <mergeCell ref="F66:F67"/>
    <mergeCell ref="F68:F69"/>
    <mergeCell ref="F71:F72"/>
    <mergeCell ref="F73:F74"/>
    <mergeCell ref="F75:F76"/>
    <mergeCell ref="H57:H58"/>
    <mergeCell ref="H60:H61"/>
    <mergeCell ref="H62:H63"/>
    <mergeCell ref="H66:H67"/>
    <mergeCell ref="H68:H69"/>
    <mergeCell ref="H71:H72"/>
    <mergeCell ref="H73:H74"/>
    <mergeCell ref="H75:H76"/>
    <mergeCell ref="H77:H78"/>
    <mergeCell ref="I105:I106"/>
    <mergeCell ref="H103:H104"/>
    <mergeCell ref="H105:H106"/>
    <mergeCell ref="F103:F104"/>
    <mergeCell ref="F105:F106"/>
    <mergeCell ref="A103:A104"/>
    <mergeCell ref="B103:B104"/>
    <mergeCell ref="C103:C104"/>
    <mergeCell ref="D103:D104"/>
    <mergeCell ref="E103:E104"/>
    <mergeCell ref="G103:G104"/>
    <mergeCell ref="I103:I104"/>
    <mergeCell ref="I107:I108"/>
    <mergeCell ref="G117:G118"/>
    <mergeCell ref="E117:E118"/>
    <mergeCell ref="D117:D118"/>
    <mergeCell ref="A109:A110"/>
    <mergeCell ref="B109:B110"/>
    <mergeCell ref="C109:C110"/>
    <mergeCell ref="D109:D110"/>
    <mergeCell ref="E109:E110"/>
    <mergeCell ref="G109:G110"/>
    <mergeCell ref="I109:I110"/>
    <mergeCell ref="A111:A112"/>
    <mergeCell ref="B111:B112"/>
    <mergeCell ref="C111:C112"/>
    <mergeCell ref="D111:D112"/>
    <mergeCell ref="E111:E112"/>
    <mergeCell ref="G111:G112"/>
    <mergeCell ref="I111:I112"/>
    <mergeCell ref="A113:A114"/>
    <mergeCell ref="B113:B114"/>
    <mergeCell ref="C113:C114"/>
    <mergeCell ref="D113:D114"/>
    <mergeCell ref="E113:E114"/>
    <mergeCell ref="G113:G114"/>
    <mergeCell ref="I113:I114"/>
    <mergeCell ref="A115:A116"/>
    <mergeCell ref="B115:B116"/>
    <mergeCell ref="C115:C116"/>
    <mergeCell ref="D115:D116"/>
    <mergeCell ref="E115:E116"/>
    <mergeCell ref="G115:G116"/>
    <mergeCell ref="I115:I116"/>
    <mergeCell ref="H113:H114"/>
    <mergeCell ref="H115:H116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120:H121"/>
    <mergeCell ref="H122:H123"/>
    <mergeCell ref="H124:H125"/>
    <mergeCell ref="H126:H127"/>
    <mergeCell ref="H131:H132"/>
    <mergeCell ref="H133:H134"/>
    <mergeCell ref="H135:H136"/>
    <mergeCell ref="H137:H138"/>
    <mergeCell ref="F7:F8"/>
    <mergeCell ref="F10:F11"/>
    <mergeCell ref="F12:F13"/>
    <mergeCell ref="F14:F15"/>
    <mergeCell ref="F16:F17"/>
    <mergeCell ref="F19:F20"/>
    <mergeCell ref="F21:F22"/>
    <mergeCell ref="F23:F24"/>
    <mergeCell ref="F25:F26"/>
    <mergeCell ref="F35:F36"/>
    <mergeCell ref="F37:F38"/>
    <mergeCell ref="F39:F40"/>
    <mergeCell ref="F41:F42"/>
    <mergeCell ref="F43:F44"/>
    <mergeCell ref="F45:F46"/>
    <mergeCell ref="F47:F48"/>
    <mergeCell ref="F83:F84"/>
    <mergeCell ref="F85:F86"/>
    <mergeCell ref="F87:F88"/>
    <mergeCell ref="F89:F90"/>
    <mergeCell ref="F91:F92"/>
    <mergeCell ref="F93:F94"/>
    <mergeCell ref="F95:F96"/>
    <mergeCell ref="F97:F98"/>
    <mergeCell ref="F135:F136"/>
    <mergeCell ref="F140:F141"/>
    <mergeCell ref="F142:F143"/>
    <mergeCell ref="F107:F108"/>
    <mergeCell ref="F109:F110"/>
    <mergeCell ref="F111:F112"/>
    <mergeCell ref="F113:F114"/>
    <mergeCell ref="F115:F116"/>
    <mergeCell ref="F117:F118"/>
    <mergeCell ref="F120:F121"/>
    <mergeCell ref="F122:F123"/>
    <mergeCell ref="F124:F125"/>
    <mergeCell ref="A64:A65"/>
    <mergeCell ref="B64:B65"/>
    <mergeCell ref="C64:C65"/>
    <mergeCell ref="D64:D65"/>
    <mergeCell ref="E64:E65"/>
    <mergeCell ref="F64:F65"/>
    <mergeCell ref="G64:G65"/>
    <mergeCell ref="H64:H65"/>
    <mergeCell ref="I64:I65"/>
  </mergeCells>
  <phoneticPr fontId="8" type="noConversion"/>
  <dataValidations count="1">
    <dataValidation type="list" allowBlank="1" showInputMessage="1" showErrorMessage="1" sqref="H10:H17 H19:H58 H140:H141 H71:H118 H120:H129 H131:H138 H60:H69" xr:uid="{3B0AC60D-DDE7-47CA-87B9-397F8FB612A1}">
      <formula1>"Terminiert, In Bearbeitung, Erledigt"</formula1>
    </dataValidation>
  </dataValidations>
  <pageMargins left="0.23622047244094491" right="0.23622047244094491" top="0.74803149606299213" bottom="0.74803149606299213" header="0.31496062992125984" footer="0.31496062992125984"/>
  <pageSetup paperSize="134" scale="5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Zeitplan IPA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Chantal Fiedler</dc:creator>
  <cp:lastModifiedBy>Chantal Fiedler</cp:lastModifiedBy>
  <cp:lastPrinted>2026-03-24T16:17:39Z</cp:lastPrinted>
  <dcterms:created xsi:type="dcterms:W3CDTF">2026-02-11T12:27:04Z</dcterms:created>
  <dcterms:modified xsi:type="dcterms:W3CDTF">2026-03-24T16:20:41Z</dcterms:modified>
</cp:coreProperties>
</file>